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HA\Downloads\"/>
    </mc:Choice>
  </mc:AlternateContent>
  <xr:revisionPtr revIDLastSave="0" documentId="13_ncr:1_{2AA2FAE2-9A14-45E6-A1A0-3AFAF224DF01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Reson Not Switched" sheetId="5" r:id="rId1"/>
    <sheet name="Raw_Data" sheetId="1" r:id="rId2"/>
    <sheet name="Dashboard" sheetId="2" r:id="rId3"/>
  </sheets>
  <definedNames>
    <definedName name="_xlnm._FilterDatabase" localSheetId="1" hidden="1">Raw_Data!$A$1:$AG$101</definedName>
    <definedName name="_xlchart.v2.0" hidden="1">Dashboard!$A$15:$A$18</definedName>
    <definedName name="_xlchart.v2.1" hidden="1">Dashboard!$B$15:$B$18</definedName>
    <definedName name="_xlchart.v2.2" hidden="1">Dashboard!$A$15:$A$18</definedName>
    <definedName name="_xlchart.v2.3" hidden="1">Dashboard!$B$15:$B$18</definedName>
  </definedNames>
  <calcPr calcId="191029" iterateDelta="1E-4"/>
  <pivotCaches>
    <pivotCache cacheId="3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2" l="1"/>
  <c r="G35" i="2"/>
  <c r="G34" i="2"/>
  <c r="B34" i="2"/>
  <c r="G33" i="2"/>
  <c r="B33" i="2"/>
  <c r="G32" i="2"/>
  <c r="B32" i="2"/>
  <c r="G31" i="2"/>
  <c r="G30" i="2"/>
  <c r="G29" i="2"/>
  <c r="G28" i="2"/>
  <c r="G27" i="2"/>
  <c r="G26" i="2"/>
  <c r="B25" i="2"/>
  <c r="B24" i="2"/>
  <c r="B23" i="2"/>
  <c r="C23" i="2" s="1"/>
  <c r="C22" i="2"/>
  <c r="B22" i="2"/>
  <c r="G21" i="2"/>
  <c r="G20" i="2"/>
  <c r="G19" i="2"/>
  <c r="G18" i="2"/>
  <c r="G17" i="2"/>
  <c r="G16" i="2"/>
  <c r="B16" i="2"/>
  <c r="G15" i="2"/>
  <c r="G14" i="2"/>
  <c r="G13" i="2"/>
  <c r="G12" i="2"/>
  <c r="H12" i="2" s="1"/>
  <c r="G11" i="2"/>
  <c r="G10" i="2"/>
  <c r="B10" i="2"/>
  <c r="G9" i="2"/>
  <c r="G8" i="2"/>
  <c r="B8" i="2"/>
  <c r="B17" i="2" s="1"/>
  <c r="G7" i="2"/>
  <c r="B7" i="2"/>
  <c r="H28" i="2" s="1"/>
  <c r="G6" i="2"/>
  <c r="B6" i="2"/>
  <c r="B18" i="2" s="1"/>
  <c r="B5" i="2"/>
  <c r="C34" i="2" l="1"/>
  <c r="H6" i="2"/>
  <c r="H15" i="2"/>
  <c r="H18" i="2"/>
  <c r="H29" i="2"/>
  <c r="H8" i="2"/>
  <c r="H19" i="2"/>
  <c r="H30" i="2"/>
  <c r="H20" i="2"/>
  <c r="H31" i="2"/>
  <c r="H10" i="2"/>
  <c r="H21" i="2"/>
  <c r="H11" i="2"/>
  <c r="H33" i="2"/>
  <c r="C24" i="2"/>
  <c r="H16" i="2"/>
  <c r="C25" i="2"/>
  <c r="H34" i="2"/>
  <c r="H26" i="2"/>
  <c r="H35" i="2"/>
  <c r="H36" i="2"/>
  <c r="H27" i="2"/>
  <c r="H9" i="2"/>
  <c r="C32" i="2"/>
  <c r="H17" i="2"/>
  <c r="H13" i="2"/>
  <c r="H32" i="2"/>
  <c r="B15" i="2"/>
  <c r="C33" i="2"/>
  <c r="H7" i="2"/>
  <c r="B9" i="2"/>
  <c r="H14" i="2"/>
  <c r="C17" i="2"/>
  <c r="C16" i="2"/>
  <c r="C15" i="2"/>
  <c r="C18" i="2"/>
</calcChain>
</file>

<file path=xl/sharedStrings.xml><?xml version="1.0" encoding="utf-8"?>
<sst xmlns="http://schemas.openxmlformats.org/spreadsheetml/2006/main" count="3429" uniqueCount="267">
  <si>
    <t>Lead_ID</t>
  </si>
  <si>
    <t>Parent_Type</t>
  </si>
  <si>
    <t>Current_School</t>
  </si>
  <si>
    <t>Child_Grade</t>
  </si>
  <si>
    <t>Call_Date</t>
  </si>
  <si>
    <t>Call_Outcome</t>
  </si>
  <si>
    <t>Reason_Not_Switched</t>
  </si>
  <si>
    <t>Conversion_Status</t>
  </si>
  <si>
    <t>Followup_Needed</t>
  </si>
  <si>
    <t>Transport_Feasibility</t>
  </si>
  <si>
    <t>Safety_Mentioned</t>
  </si>
  <si>
    <t>SeatBlocking_NonRefundable</t>
  </si>
  <si>
    <t>Tuition_Installments</t>
  </si>
  <si>
    <t>0Percent_EMI</t>
  </si>
  <si>
    <t>OneShot_Discount</t>
  </si>
  <si>
    <t>Sibling_Concession</t>
  </si>
  <si>
    <t>Corporate_TieUp</t>
  </si>
  <si>
    <t>MidYear_Concession</t>
  </si>
  <si>
    <t>Imprest_Refundable</t>
  </si>
  <si>
    <t>Internal_Transfer_125Branches</t>
  </si>
  <si>
    <t>SOCH_Counselling</t>
  </si>
  <si>
    <t>Beyond_The_Bell</t>
  </si>
  <si>
    <t>Robotics_Lab</t>
  </si>
  <si>
    <t>Coding_Lab</t>
  </si>
  <si>
    <t>Dance_Music_Theatre</t>
  </si>
  <si>
    <t>Active_Schooling</t>
  </si>
  <si>
    <t>OCFP_Program</t>
  </si>
  <si>
    <t>SeatBlocking_Objection</t>
  </si>
  <si>
    <t>Imprest_Fees_Concern</t>
  </si>
  <si>
    <t>Transport_Not_Available</t>
  </si>
  <si>
    <t>Safety_Concern</t>
  </si>
  <si>
    <t>Workshop_Interest</t>
  </si>
  <si>
    <t>Followup_Priority</t>
  </si>
  <si>
    <t>LD001</t>
  </si>
  <si>
    <t>Transfer (Already in other school)</t>
  </si>
  <si>
    <t>DPS</t>
  </si>
  <si>
    <t>Grade 2</t>
  </si>
  <si>
    <t>2026-04-16</t>
  </si>
  <si>
    <t>Interested</t>
  </si>
  <si>
    <t>No after-school program (Beyond the Bell)</t>
  </si>
  <si>
    <t>Enrolled</t>
  </si>
  <si>
    <t>No</t>
  </si>
  <si>
    <t>No - not available</t>
  </si>
  <si>
    <t>Yes</t>
  </si>
  <si>
    <t>N/A</t>
  </si>
  <si>
    <t>LD002</t>
  </si>
  <si>
    <t>Kindergarten (New)</t>
  </si>
  <si>
    <t>2026-05-22</t>
  </si>
  <si>
    <t>Safety concerns (anti-ragging, POCSO)</t>
  </si>
  <si>
    <t>Lost</t>
  </si>
  <si>
    <t>Yes - within route</t>
  </si>
  <si>
    <t>LD003</t>
  </si>
  <si>
    <t>Grade 1</t>
  </si>
  <si>
    <t>2026-04-11</t>
  </si>
  <si>
    <t>Not interested</t>
  </si>
  <si>
    <t>Imprest fees not refundable</t>
  </si>
  <si>
    <t>Follow-up pending</t>
  </si>
  <si>
    <t>Low</t>
  </si>
  <si>
    <t>LD004</t>
  </si>
  <si>
    <t>St. Mary's</t>
  </si>
  <si>
    <t>Grade 3</t>
  </si>
  <si>
    <t>2026-04-15</t>
  </si>
  <si>
    <t>Callback requested</t>
  </si>
  <si>
    <t>No sibling discount</t>
  </si>
  <si>
    <t>LD005</t>
  </si>
  <si>
    <t>Grade 6</t>
  </si>
  <si>
    <t>2026-05-19</t>
  </si>
  <si>
    <t>Other</t>
  </si>
  <si>
    <t>Not sure</t>
  </si>
  <si>
    <t>LD006</t>
  </si>
  <si>
    <t>Jain International</t>
  </si>
  <si>
    <t>UKG</t>
  </si>
  <si>
    <t>2026-04-17</t>
  </si>
  <si>
    <t>Curriculum mismatch</t>
  </si>
  <si>
    <t>LD007</t>
  </si>
  <si>
    <t>2026-05-17</t>
  </si>
  <si>
    <t>LD008</t>
  </si>
  <si>
    <t>Nursery</t>
  </si>
  <si>
    <t>2026-05-12</t>
  </si>
  <si>
    <t>Happy with current school</t>
  </si>
  <si>
    <t>LD009</t>
  </si>
  <si>
    <t>2026-05-08</t>
  </si>
  <si>
    <t>LD010</t>
  </si>
  <si>
    <t>LKG</t>
  </si>
  <si>
    <t>2026-04-01</t>
  </si>
  <si>
    <t>LD011</t>
  </si>
  <si>
    <t>Grade 7</t>
  </si>
  <si>
    <t>2026-04-14</t>
  </si>
  <si>
    <t>No corporate tie-up</t>
  </si>
  <si>
    <t>LD012</t>
  </si>
  <si>
    <t>2026-05-28</t>
  </si>
  <si>
    <t>LD013</t>
  </si>
  <si>
    <t>Grade 5</t>
  </si>
  <si>
    <t>LD014</t>
  </si>
  <si>
    <t>2026-04-25</t>
  </si>
  <si>
    <t>LD015</t>
  </si>
  <si>
    <t>2026-04-20</t>
  </si>
  <si>
    <t>LD016</t>
  </si>
  <si>
    <t>2026-04-27</t>
  </si>
  <si>
    <t>LD017</t>
  </si>
  <si>
    <t>Grade 4</t>
  </si>
  <si>
    <t>2026-05-24</t>
  </si>
  <si>
    <t>LD018</t>
  </si>
  <si>
    <t>LD019</t>
  </si>
  <si>
    <t>Seat blocking non-refundable too high</t>
  </si>
  <si>
    <t>LD020</t>
  </si>
  <si>
    <t>NPS</t>
  </si>
  <si>
    <t>2026-05-01</t>
  </si>
  <si>
    <t>LD021</t>
  </si>
  <si>
    <t>Other Govt</t>
  </si>
  <si>
    <t>2026-05-21</t>
  </si>
  <si>
    <t>No counselling program (SOCH)</t>
  </si>
  <si>
    <t>LD022</t>
  </si>
  <si>
    <t>2026-05-07</t>
  </si>
  <si>
    <t>No knowledge of 125+ branch transfer</t>
  </si>
  <si>
    <t>LD023</t>
  </si>
  <si>
    <t>2026-05-04</t>
  </si>
  <si>
    <t>LD024</t>
  </si>
  <si>
    <t>2026-05-15</t>
  </si>
  <si>
    <t>Fees too high – unaware of discounts</t>
  </si>
  <si>
    <t>High</t>
  </si>
  <si>
    <t>LD025</t>
  </si>
  <si>
    <t>LD026</t>
  </si>
  <si>
    <t>2026-04-28</t>
  </si>
  <si>
    <t>LD027</t>
  </si>
  <si>
    <t>Grade 8</t>
  </si>
  <si>
    <t>2026-05-23</t>
  </si>
  <si>
    <t>LD028</t>
  </si>
  <si>
    <t>LD029</t>
  </si>
  <si>
    <t>Other Private</t>
  </si>
  <si>
    <t>2026-05-02</t>
  </si>
  <si>
    <t>LD030</t>
  </si>
  <si>
    <t>LD031</t>
  </si>
  <si>
    <t>LD032</t>
  </si>
  <si>
    <t>2026-04-03</t>
  </si>
  <si>
    <t>LD033</t>
  </si>
  <si>
    <t>2026-04-30</t>
  </si>
  <si>
    <t>LD034</t>
  </si>
  <si>
    <t>2026-05-14</t>
  </si>
  <si>
    <t>LD035</t>
  </si>
  <si>
    <t>2026-05-26</t>
  </si>
  <si>
    <t>LD036</t>
  </si>
  <si>
    <t>2026-04-08</t>
  </si>
  <si>
    <t>LD037</t>
  </si>
  <si>
    <t>DAV</t>
  </si>
  <si>
    <t>2026-04-26</t>
  </si>
  <si>
    <t>No 0% EMI awareness</t>
  </si>
  <si>
    <t>LD038</t>
  </si>
  <si>
    <t>LD039</t>
  </si>
  <si>
    <t>2026-04-05</t>
  </si>
  <si>
    <t>Transport not available</t>
  </si>
  <si>
    <t>LD040</t>
  </si>
  <si>
    <t>LD041</t>
  </si>
  <si>
    <t>LD042</t>
  </si>
  <si>
    <t>No robotics/coding lab interest</t>
  </si>
  <si>
    <t>LD043</t>
  </si>
  <si>
    <t>LD044</t>
  </si>
  <si>
    <t>LD045</t>
  </si>
  <si>
    <t>LD046</t>
  </si>
  <si>
    <t>2026-05-29</t>
  </si>
  <si>
    <t>LD047</t>
  </si>
  <si>
    <t>2026-04-19</t>
  </si>
  <si>
    <t>LD048</t>
  </si>
  <si>
    <t>LD049</t>
  </si>
  <si>
    <t>LD050</t>
  </si>
  <si>
    <t>2026-04-10</t>
  </si>
  <si>
    <t>LD051</t>
  </si>
  <si>
    <t>LD052</t>
  </si>
  <si>
    <t>2026-05-05</t>
  </si>
  <si>
    <t>LD053</t>
  </si>
  <si>
    <t>2026-04-13</t>
  </si>
  <si>
    <t>LD054</t>
  </si>
  <si>
    <t>LD055</t>
  </si>
  <si>
    <t>LD056</t>
  </si>
  <si>
    <t>LD057</t>
  </si>
  <si>
    <t>2026-04-09</t>
  </si>
  <si>
    <t>LD058</t>
  </si>
  <si>
    <t>LD059</t>
  </si>
  <si>
    <t>LD060</t>
  </si>
  <si>
    <t>LD061</t>
  </si>
  <si>
    <t>LD062</t>
  </si>
  <si>
    <t>2026-05-30</t>
  </si>
  <si>
    <t>LD063</t>
  </si>
  <si>
    <t>2026-05-20</t>
  </si>
  <si>
    <t>LD064</t>
  </si>
  <si>
    <t>LD065</t>
  </si>
  <si>
    <t>2026-04-23</t>
  </si>
  <si>
    <t>LD066</t>
  </si>
  <si>
    <t>2026-04-21</t>
  </si>
  <si>
    <t>LD067</t>
  </si>
  <si>
    <t>LD068</t>
  </si>
  <si>
    <t>2026-04-29</t>
  </si>
  <si>
    <t>LD069</t>
  </si>
  <si>
    <t>LD070</t>
  </si>
  <si>
    <t>LD071</t>
  </si>
  <si>
    <t>LD072</t>
  </si>
  <si>
    <t>2026-05-09</t>
  </si>
  <si>
    <t>LD073</t>
  </si>
  <si>
    <t>LD074</t>
  </si>
  <si>
    <t>2026-04-04</t>
  </si>
  <si>
    <t>LD075</t>
  </si>
  <si>
    <t>2026-04-24</t>
  </si>
  <si>
    <t>LD076</t>
  </si>
  <si>
    <t>LD077</t>
  </si>
  <si>
    <t>2026-05-06</t>
  </si>
  <si>
    <t>LD078</t>
  </si>
  <si>
    <t>2026-04-06</t>
  </si>
  <si>
    <t>LD079</t>
  </si>
  <si>
    <t>LD080</t>
  </si>
  <si>
    <t>LD081</t>
  </si>
  <si>
    <t>LD082</t>
  </si>
  <si>
    <t>LD083</t>
  </si>
  <si>
    <t>2026-04-02</t>
  </si>
  <si>
    <t>LD084</t>
  </si>
  <si>
    <t>LD085</t>
  </si>
  <si>
    <t>LD086</t>
  </si>
  <si>
    <t>2026-05-13</t>
  </si>
  <si>
    <t>LD087</t>
  </si>
  <si>
    <t>LD088</t>
  </si>
  <si>
    <t>LD089</t>
  </si>
  <si>
    <t>2026-04-07</t>
  </si>
  <si>
    <t>LD090</t>
  </si>
  <si>
    <t>LD091</t>
  </si>
  <si>
    <t>LD092</t>
  </si>
  <si>
    <t>LD093</t>
  </si>
  <si>
    <t>LD094</t>
  </si>
  <si>
    <t>LD095</t>
  </si>
  <si>
    <t>LD096</t>
  </si>
  <si>
    <t>LD097</t>
  </si>
  <si>
    <t>LD098</t>
  </si>
  <si>
    <t>Medium</t>
  </si>
  <si>
    <t>LD099</t>
  </si>
  <si>
    <t>LD100</t>
  </si>
  <si>
    <t>ORCHIDS INTERNATIONAL SCHOOL – PARENT LEAD ANALYSIS DASHBOARD</t>
  </si>
  <si>
    <t>Campaign Period: 01-Apr-2026 to 30-May-2026   |   Data as of: 30-May-2026</t>
  </si>
  <si>
    <t>📊  KEY METRICS</t>
  </si>
  <si>
    <t>Total Leads Called</t>
  </si>
  <si>
    <t>Feature / Initiative</t>
  </si>
  <si>
    <t># Aware</t>
  </si>
  <si>
    <t>% Aware</t>
  </si>
  <si>
    <t>Follow-up Pending</t>
  </si>
  <si>
    <t>Conversion Rate</t>
  </si>
  <si>
    <t>Avg Awareness per Lead</t>
  </si>
  <si>
    <t>🔽  CONVERSION FUNNEL</t>
  </si>
  <si>
    <t>Stage</t>
  </si>
  <si>
    <t>Count</t>
  </si>
  <si>
    <t>% of Total</t>
  </si>
  <si>
    <t>Total Calls Made</t>
  </si>
  <si>
    <t>Interested / CB</t>
  </si>
  <si>
    <t>⚡  FOLLOW-UP PRIORITY SUMMARY</t>
  </si>
  <si>
    <t>Priority Level</t>
  </si>
  <si>
    <t>% of Follow-ups</t>
  </si>
  <si>
    <t>Note: Cells with % &lt; 20% indicate critical awareness gaps – prioritise in training.</t>
  </si>
  <si>
    <t>% of Lost</t>
  </si>
  <si>
    <t>Transport Status</t>
  </si>
  <si>
    <t>FOLLOW-UP LIST – How to view high-priority leads:</t>
  </si>
  <si>
    <t xml:space="preserve">  1. Go to Raw_Data sheet.</t>
  </si>
  <si>
    <t xml:space="preserve">  2. Click any cell in row 1 &gt; Data &gt; Filter (if not already on).</t>
  </si>
  <si>
    <t xml:space="preserve">  3. Click the Followup_Priority column dropdown &gt; select 'High'.</t>
  </si>
  <si>
    <t xml:space="preserve">  4. Additionally filter Followup_Needed = 'Yes' to narrow results.</t>
  </si>
  <si>
    <t xml:space="preserve">  5. Copy visible rows to a new sheet for your call list.</t>
  </si>
  <si>
    <t>AWARENESS GAP  (% of leads who were AWARE)</t>
  </si>
  <si>
    <t>TOP REASONS FOR NON-ENROLLMENT (use PivotTable to sort)</t>
  </si>
  <si>
    <t xml:space="preserve"> TRANSPORT FEASIBILITY BREAKDOWN</t>
  </si>
  <si>
    <t>Row Labels</t>
  </si>
  <si>
    <t>Grand Total</t>
  </si>
  <si>
    <t>Count of Lead_ID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</si>
</sst>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color rgb="FF1F4E79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i/>
      <sz val="8"/>
      <color rgb="FF843C0C"/>
      <name val="Arial"/>
      <charset val="1"/>
    </font>
    <font>
      <b/>
      <sz val="10"/>
      <color rgb="FFBF8F00"/>
      <name val="Arial"/>
      <charset val="1"/>
    </font>
    <font>
      <b/>
      <sz val="10"/>
      <color rgb="FF375623"/>
      <name val="Arial"/>
      <charset val="1"/>
    </font>
    <font>
      <b/>
      <sz val="10"/>
      <color rgb="FF595959"/>
      <name val="Arial"/>
      <charset val="1"/>
    </font>
    <font>
      <b/>
      <sz val="9"/>
      <name val="Arial"/>
      <charset val="1"/>
    </font>
    <font>
      <b/>
      <sz val="12"/>
      <color rgb="FFFFFFFF"/>
      <name val="Arial"/>
      <family val="2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2E75B6"/>
        <bgColor rgb="FF008080"/>
      </patternFill>
    </fill>
    <fill>
      <patternFill patternType="solid">
        <fgColor rgb="FFF2F7FF"/>
        <bgColor rgb="FFF2F2F2"/>
      </patternFill>
    </fill>
    <fill>
      <patternFill patternType="solid">
        <fgColor rgb="FFFFFFFF"/>
        <bgColor rgb="FFF2F7FF"/>
      </patternFill>
    </fill>
    <fill>
      <patternFill patternType="solid">
        <fgColor rgb="FF1F3864"/>
        <bgColor rgb="FF244185"/>
      </patternFill>
    </fill>
    <fill>
      <patternFill patternType="solid">
        <fgColor rgb="FF843C0C"/>
        <bgColor rgb="FF833C00"/>
      </patternFill>
    </fill>
    <fill>
      <patternFill patternType="solid">
        <fgColor rgb="FFDEEAF1"/>
        <bgColor rgb="FFD9E1F2"/>
      </patternFill>
    </fill>
    <fill>
      <patternFill patternType="solid">
        <fgColor rgb="FFC55A11"/>
        <bgColor rgb="FFBF8F00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833C00"/>
        <bgColor rgb="FF843C0C"/>
      </patternFill>
    </fill>
    <fill>
      <patternFill patternType="solid">
        <fgColor rgb="FF403152"/>
        <bgColor rgb="FF1F3864"/>
      </patternFill>
    </fill>
    <fill>
      <patternFill patternType="solid">
        <fgColor rgb="FFF2F2F2"/>
        <bgColor rgb="FFF8F0FF"/>
      </patternFill>
    </fill>
    <fill>
      <patternFill patternType="solid">
        <fgColor rgb="FF7030A0"/>
        <bgColor rgb="FF403152"/>
      </patternFill>
    </fill>
    <fill>
      <patternFill patternType="solid">
        <fgColor rgb="FFEDE7F6"/>
        <bgColor rgb="FFDEEAF1"/>
      </patternFill>
    </fill>
    <fill>
      <patternFill patternType="solid">
        <fgColor rgb="FFF8F0FF"/>
        <bgColor rgb="FFF2F2F2"/>
      </patternFill>
    </fill>
    <fill>
      <patternFill patternType="solid">
        <fgColor rgb="FF244185"/>
        <bgColor rgb="FF1F4E79"/>
      </patternFill>
    </fill>
    <fill>
      <patternFill patternType="solid">
        <fgColor rgb="FFD9E1F2"/>
        <b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4" fillId="2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19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10" fillId="0" borderId="0" xfId="0" applyFont="1"/>
    <xf numFmtId="0" fontId="5" fillId="13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/>
    <xf numFmtId="0" fontId="3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164" fontId="8" fillId="12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164" fontId="8" fillId="15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center" vertical="center"/>
    </xf>
    <xf numFmtId="164" fontId="8" fillId="17" borderId="1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/>
    </xf>
    <xf numFmtId="164" fontId="8" fillId="18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15" fillId="1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9999FF"/>
      <rgbColor rgb="FF7030A0"/>
      <rgbColor rgb="FFFFF2CC"/>
      <rgbColor rgb="FFDEEAF1"/>
      <rgbColor rgb="FF660066"/>
      <rgbColor rgb="FFFF8080"/>
      <rgbColor rgb="FF1F4E7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2EFDA"/>
      <rgbColor rgb="FFF2F2F2"/>
      <rgbColor rgb="FFF8F0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75623"/>
      <rgbColor rgb="FF833C00"/>
      <rgbColor rgb="FF843C0C"/>
      <rgbColor rgb="FF244185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[Orchids_Parent_Lead_Analysis.xlsx]Reson Not Switched!PivotTable13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'Reson Not Switched'!$B$3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'Reson Not Switched'!$A$4:$A$19</c:f>
              <c:strCache>
                <c:ptCount val="15"/>
                <c:pt idx="0">
                  <c:v>Imprest fees not refundable</c:v>
                </c:pt>
                <c:pt idx="1">
                  <c:v>No 0% EMI awareness</c:v>
                </c:pt>
                <c:pt idx="2">
                  <c:v>Other</c:v>
                </c:pt>
                <c:pt idx="3">
                  <c:v>No after-school program (Beyond the Bell)</c:v>
                </c:pt>
                <c:pt idx="4">
                  <c:v>No counselling program (SOCH)</c:v>
                </c:pt>
                <c:pt idx="5">
                  <c:v>Fees too high – unaware of discounts</c:v>
                </c:pt>
                <c:pt idx="6">
                  <c:v>Transport not available</c:v>
                </c:pt>
                <c:pt idx="7">
                  <c:v>Safety concerns (anti-ragging, POCSO)</c:v>
                </c:pt>
                <c:pt idx="8">
                  <c:v>No robotics/coding lab interest</c:v>
                </c:pt>
                <c:pt idx="9">
                  <c:v>Curriculum mismatch</c:v>
                </c:pt>
                <c:pt idx="10">
                  <c:v>No sibling discount</c:v>
                </c:pt>
                <c:pt idx="11">
                  <c:v>Happy with current school</c:v>
                </c:pt>
                <c:pt idx="12">
                  <c:v>Seat blocking non-refundable too high</c:v>
                </c:pt>
                <c:pt idx="13">
                  <c:v>No corporate tie-up</c:v>
                </c:pt>
                <c:pt idx="14">
                  <c:v>No knowledge of 125+ branch transfer</c:v>
                </c:pt>
              </c:strCache>
            </c:strRef>
          </c:cat>
          <c:val>
            <c:numRef>
              <c:f>'Reson Not Switched'!$B$4:$B$19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D-45D4-BAB7-C89607BC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588879855"/>
        <c:axId val="1588883695"/>
      </c:barChart>
      <c:catAx>
        <c:axId val="15888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83695"/>
        <c:crosses val="autoZero"/>
        <c:auto val="1"/>
        <c:lblAlgn val="ctr"/>
        <c:lblOffset val="100"/>
        <c:noMultiLvlLbl val="0"/>
      </c:catAx>
      <c:valAx>
        <c:axId val="15888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7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Reasons for Non-Enrollment (Lost Leads)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Dashboard!$F$26:$F$36</c:f>
              <c:strCache>
                <c:ptCount val="11"/>
                <c:pt idx="0">
                  <c:v>Seat blocking non-refundable too high</c:v>
                </c:pt>
                <c:pt idx="1">
                  <c:v>No 0% EMI awareness</c:v>
                </c:pt>
                <c:pt idx="2">
                  <c:v>No sibling discount</c:v>
                </c:pt>
                <c:pt idx="3">
                  <c:v>No corporate tie-up</c:v>
                </c:pt>
                <c:pt idx="4">
                  <c:v>Imprest fees not refundable</c:v>
                </c:pt>
                <c:pt idx="5">
                  <c:v>Transport not available</c:v>
                </c:pt>
                <c:pt idx="6">
                  <c:v>No knowledge of 125+ branch transfer</c:v>
                </c:pt>
                <c:pt idx="7">
                  <c:v>Safety concerns (anti-ragging, POCSO)</c:v>
                </c:pt>
                <c:pt idx="8">
                  <c:v>No counselling program (SOCH)</c:v>
                </c:pt>
                <c:pt idx="9">
                  <c:v>Curriculum mismatch</c:v>
                </c:pt>
                <c:pt idx="10">
                  <c:v>Fees too high – unaware of discounts</c:v>
                </c:pt>
              </c:strCache>
            </c:strRef>
          </c:cat>
          <c:val>
            <c:numRef>
              <c:f>Dashboard!$G$26:$G$36</c:f>
              <c:numCache>
                <c:formatCode>General</c:formatCode>
                <c:ptCount val="11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E-4DB0-B356-4BAA3B03C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88922095"/>
        <c:axId val="1588920655"/>
      </c:barChart>
      <c:catAx>
        <c:axId val="158892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20655"/>
        <c:crosses val="autoZero"/>
        <c:auto val="1"/>
        <c:lblAlgn val="ctr"/>
        <c:lblOffset val="100"/>
        <c:noMultiLvlLbl val="0"/>
      </c:catAx>
      <c:valAx>
        <c:axId val="15889206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2209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Parent Awareness Gap by Initiative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Dashboard!$F$6:$F$21</c:f>
              <c:strCache>
                <c:ptCount val="16"/>
                <c:pt idx="0">
                  <c:v>SeatBlocking_NonRefundable</c:v>
                </c:pt>
                <c:pt idx="1">
                  <c:v>Tuition_Installments</c:v>
                </c:pt>
                <c:pt idx="2">
                  <c:v>0Percent_EMI</c:v>
                </c:pt>
                <c:pt idx="3">
                  <c:v>OneShot_Discount</c:v>
                </c:pt>
                <c:pt idx="4">
                  <c:v>Sibling_Concession</c:v>
                </c:pt>
                <c:pt idx="5">
                  <c:v>Corporate_TieUp</c:v>
                </c:pt>
                <c:pt idx="6">
                  <c:v>MidYear_Concession</c:v>
                </c:pt>
                <c:pt idx="7">
                  <c:v>Imprest_Refundable</c:v>
                </c:pt>
                <c:pt idx="8">
                  <c:v>Internal_Transfer_125Branches</c:v>
                </c:pt>
                <c:pt idx="9">
                  <c:v>SOCH_Counselling</c:v>
                </c:pt>
                <c:pt idx="10">
                  <c:v>Beyond_The_Bell</c:v>
                </c:pt>
                <c:pt idx="11">
                  <c:v>Robotics_Lab</c:v>
                </c:pt>
                <c:pt idx="12">
                  <c:v>Coding_Lab</c:v>
                </c:pt>
                <c:pt idx="13">
                  <c:v>Dance_Music_Theatre</c:v>
                </c:pt>
                <c:pt idx="14">
                  <c:v>Active_Schooling</c:v>
                </c:pt>
                <c:pt idx="15">
                  <c:v>OCFP_Program</c:v>
                </c:pt>
              </c:strCache>
            </c:strRef>
          </c:cat>
          <c:val>
            <c:numRef>
              <c:f>Dashboard!$H$6:$H$21</c:f>
              <c:numCache>
                <c:formatCode>0.0%</c:formatCode>
                <c:ptCount val="16"/>
                <c:pt idx="0">
                  <c:v>0.31</c:v>
                </c:pt>
                <c:pt idx="1">
                  <c:v>0.25</c:v>
                </c:pt>
                <c:pt idx="2">
                  <c:v>0.2</c:v>
                </c:pt>
                <c:pt idx="3">
                  <c:v>0.27</c:v>
                </c:pt>
                <c:pt idx="4">
                  <c:v>0.33</c:v>
                </c:pt>
                <c:pt idx="5">
                  <c:v>0.18</c:v>
                </c:pt>
                <c:pt idx="6">
                  <c:v>0.18</c:v>
                </c:pt>
                <c:pt idx="7">
                  <c:v>0.11</c:v>
                </c:pt>
                <c:pt idx="8">
                  <c:v>0.22</c:v>
                </c:pt>
                <c:pt idx="9">
                  <c:v>0.13</c:v>
                </c:pt>
                <c:pt idx="10">
                  <c:v>0.08</c:v>
                </c:pt>
                <c:pt idx="11">
                  <c:v>0.28000000000000003</c:v>
                </c:pt>
                <c:pt idx="12">
                  <c:v>0.23</c:v>
                </c:pt>
                <c:pt idx="13">
                  <c:v>0.34</c:v>
                </c:pt>
                <c:pt idx="14">
                  <c:v>0.2</c:v>
                </c:pt>
                <c:pt idx="1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3-4B14-8D6D-F73CBBABC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88912015"/>
        <c:axId val="1588909135"/>
      </c:barChart>
      <c:catAx>
        <c:axId val="158891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09135"/>
        <c:crosses val="autoZero"/>
        <c:auto val="1"/>
        <c:lblAlgn val="ctr"/>
        <c:lblOffset val="100"/>
        <c:noMultiLvlLbl val="0"/>
      </c:catAx>
      <c:valAx>
        <c:axId val="158890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1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Transport Feasibility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B5-41DC-AB52-4F81D394E2C3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B5-41DC-AB52-4F81D394E2C3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B5-41DC-AB52-4F81D394E2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39AAC32-90B5-45BF-BC9F-D509018450E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5B5-41DC-AB52-4F81D394E2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529855-963B-4FEE-9F98-8E0E9996F4B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5B5-41DC-AB52-4F81D394E2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4EFC04-0EEA-432A-A847-D90ED26BB45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5B5-41DC-AB52-4F81D394E2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Dashboard!$A$32:$A$34</c:f>
              <c:strCache>
                <c:ptCount val="3"/>
                <c:pt idx="0">
                  <c:v>Yes - within route</c:v>
                </c:pt>
                <c:pt idx="1">
                  <c:v>No - not available</c:v>
                </c:pt>
                <c:pt idx="2">
                  <c:v>Not sure</c:v>
                </c:pt>
              </c:strCache>
            </c:strRef>
          </c:cat>
          <c:val>
            <c:numRef>
              <c:f>Dashboard!$B$32:$B$34</c:f>
              <c:numCache>
                <c:formatCode>General</c:formatCode>
                <c:ptCount val="3"/>
                <c:pt idx="0">
                  <c:v>37</c:v>
                </c:pt>
                <c:pt idx="1">
                  <c:v>47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5-41DC-AB52-4F81D394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Lead Conversion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Lead Conversion Funnel</a:t>
          </a:r>
        </a:p>
      </cx:txPr>
    </cx:title>
    <cx:plotArea>
      <cx:plotAreaRegion>
        <cx:series layoutId="funnel" uniqueId="{E5911991-D4F7-401B-9E62-53D5CA9E68D4}">
          <cx:spPr>
            <a:solidFill>
              <a:schemeClr val="accent3">
                <a:lumMod val="50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1">
        <cx:catScaling gapWidth="0.75999999"/>
        <cx:tickLabels/>
      </cx:axis>
    </cx:plotArea>
  </cx:chart>
  <cx:spPr>
    <a:solidFill>
      <a:schemeClr val="accent3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64770</xdr:rowOff>
    </xdr:from>
    <xdr:to>
      <xdr:col>11</xdr:col>
      <xdr:colOff>411480</xdr:colOff>
      <xdr:row>18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CD75FB-DEBF-7327-A8E6-112D60201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501768</xdr:colOff>
      <xdr:row>22</xdr:row>
      <xdr:rowOff>142068</xdr:rowOff>
    </xdr:from>
    <xdr:to>
      <xdr:col>16</xdr:col>
      <xdr:colOff>306384</xdr:colOff>
      <xdr:row>36</xdr:row>
      <xdr:rowOff>150050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DB3A7-2ED3-B637-7F6E-77F102E91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585621</xdr:colOff>
      <xdr:row>6</xdr:row>
      <xdr:rowOff>12554</xdr:rowOff>
    </xdr:from>
    <xdr:to>
      <xdr:col>16</xdr:col>
      <xdr:colOff>395847</xdr:colOff>
      <xdr:row>20</xdr:row>
      <xdr:rowOff>29558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E3580A-49BD-8348-927C-97D20D3AF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238440</xdr:colOff>
      <xdr:row>23</xdr:row>
      <xdr:rowOff>75050</xdr:rowOff>
    </xdr:from>
    <xdr:to>
      <xdr:col>25</xdr:col>
      <xdr:colOff>59477</xdr:colOff>
      <xdr:row>37</xdr:row>
      <xdr:rowOff>148598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BD111A9-CD67-3168-BD42-E1C22BA640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88033" y="4853694"/>
              <a:ext cx="4573851" cy="2785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35237</xdr:colOff>
      <xdr:row>6</xdr:row>
      <xdr:rowOff>121695</xdr:rowOff>
    </xdr:from>
    <xdr:to>
      <xdr:col>24</xdr:col>
      <xdr:colOff>449265</xdr:colOff>
      <xdr:row>20</xdr:row>
      <xdr:rowOff>185265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287AED-01FF-9E31-403E-39C921BBC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" refreshedDate="46172.980118749998" createdVersion="8" refreshedVersion="8" minRefreshableVersion="3" recordCount="100" xr:uid="{2E12E318-0447-4CB7-80EA-B5F752161DA3}">
  <cacheSource type="worksheet">
    <worksheetSource ref="A1:AG101" sheet="Raw_Data"/>
  </cacheSource>
  <cacheFields count="33">
    <cacheField name="Lead_ID" numFmtId="0">
      <sharedItems count="100">
        <s v="LD001"/>
        <s v="LD002"/>
        <s v="LD003"/>
        <s v="LD004"/>
        <s v="LD005"/>
        <s v="LD006"/>
        <s v="LD007"/>
        <s v="LD008"/>
        <s v="LD009"/>
        <s v="LD010"/>
        <s v="LD011"/>
        <s v="LD012"/>
        <s v="LD013"/>
        <s v="LD014"/>
        <s v="LD015"/>
        <s v="LD016"/>
        <s v="LD017"/>
        <s v="LD018"/>
        <s v="LD019"/>
        <s v="LD020"/>
        <s v="LD021"/>
        <s v="LD022"/>
        <s v="LD023"/>
        <s v="LD024"/>
        <s v="LD025"/>
        <s v="LD026"/>
        <s v="LD027"/>
        <s v="LD028"/>
        <s v="LD029"/>
        <s v="LD030"/>
        <s v="LD031"/>
        <s v="LD032"/>
        <s v="LD033"/>
        <s v="LD034"/>
        <s v="LD035"/>
        <s v="LD036"/>
        <s v="LD037"/>
        <s v="LD038"/>
        <s v="LD039"/>
        <s v="LD040"/>
        <s v="LD041"/>
        <s v="LD042"/>
        <s v="LD043"/>
        <s v="LD044"/>
        <s v="LD045"/>
        <s v="LD046"/>
        <s v="LD047"/>
        <s v="LD048"/>
        <s v="LD049"/>
        <s v="LD050"/>
        <s v="LD051"/>
        <s v="LD052"/>
        <s v="LD053"/>
        <s v="LD054"/>
        <s v="LD055"/>
        <s v="LD056"/>
        <s v="LD057"/>
        <s v="LD058"/>
        <s v="LD059"/>
        <s v="LD060"/>
        <s v="LD061"/>
        <s v="LD062"/>
        <s v="LD063"/>
        <s v="LD064"/>
        <s v="LD065"/>
        <s v="LD066"/>
        <s v="LD067"/>
        <s v="LD068"/>
        <s v="LD069"/>
        <s v="LD070"/>
        <s v="LD071"/>
        <s v="LD072"/>
        <s v="LD073"/>
        <s v="LD074"/>
        <s v="LD075"/>
        <s v="LD076"/>
        <s v="LD077"/>
        <s v="LD078"/>
        <s v="LD079"/>
        <s v="LD080"/>
        <s v="LD081"/>
        <s v="LD082"/>
        <s v="LD083"/>
        <s v="LD084"/>
        <s v="LD085"/>
        <s v="LD086"/>
        <s v="LD087"/>
        <s v="LD088"/>
        <s v="LD089"/>
        <s v="LD090"/>
        <s v="LD091"/>
        <s v="LD092"/>
        <s v="LD093"/>
        <s v="LD094"/>
        <s v="LD095"/>
        <s v="LD096"/>
        <s v="LD097"/>
        <s v="LD098"/>
        <s v="LD099"/>
        <s v="LD100"/>
      </sharedItems>
    </cacheField>
    <cacheField name="Parent_Type" numFmtId="0">
      <sharedItems/>
    </cacheField>
    <cacheField name="Current_School" numFmtId="0">
      <sharedItems/>
    </cacheField>
    <cacheField name="Child_Grade" numFmtId="0">
      <sharedItems/>
    </cacheField>
    <cacheField name="Call_Date" numFmtId="0">
      <sharedItems/>
    </cacheField>
    <cacheField name="Call_Outcome" numFmtId="0">
      <sharedItems/>
    </cacheField>
    <cacheField name="Reason_Not_Switched" numFmtId="0">
      <sharedItems count="15">
        <s v="No after-school program (Beyond the Bell)"/>
        <s v="Safety concerns (anti-ragging, POCSO)"/>
        <s v="Imprest fees not refundable"/>
        <s v="No sibling discount"/>
        <s v="Other"/>
        <s v="Curriculum mismatch"/>
        <s v="Happy with current school"/>
        <s v="No corporate tie-up"/>
        <s v="Seat blocking non-refundable too high"/>
        <s v="No counselling program (SOCH)"/>
        <s v="No knowledge of 125+ branch transfer"/>
        <s v="Fees too high – unaware of discounts"/>
        <s v="No 0% EMI awareness"/>
        <s v="Transport not available"/>
        <s v="No robotics/coding lab interest"/>
      </sharedItems>
    </cacheField>
    <cacheField name="Conversion_Status" numFmtId="0">
      <sharedItems count="3">
        <s v="Enrolled"/>
        <s v="Lost"/>
        <s v="Follow-up pending"/>
      </sharedItems>
    </cacheField>
    <cacheField name="Followup_Needed" numFmtId="0">
      <sharedItems/>
    </cacheField>
    <cacheField name="Transport_Feasibility" numFmtId="0">
      <sharedItems/>
    </cacheField>
    <cacheField name="Safety_Mentioned" numFmtId="0">
      <sharedItems/>
    </cacheField>
    <cacheField name="SeatBlocking_NonRefundable" numFmtId="0">
      <sharedItems/>
    </cacheField>
    <cacheField name="Tuition_Installments" numFmtId="0">
      <sharedItems/>
    </cacheField>
    <cacheField name="0Percent_EMI" numFmtId="0">
      <sharedItems/>
    </cacheField>
    <cacheField name="OneShot_Discount" numFmtId="0">
      <sharedItems/>
    </cacheField>
    <cacheField name="Sibling_Concession" numFmtId="0">
      <sharedItems/>
    </cacheField>
    <cacheField name="Corporate_TieUp" numFmtId="0">
      <sharedItems/>
    </cacheField>
    <cacheField name="MidYear_Concession" numFmtId="0">
      <sharedItems/>
    </cacheField>
    <cacheField name="Imprest_Refundable" numFmtId="0">
      <sharedItems/>
    </cacheField>
    <cacheField name="Internal_Transfer_125Branches" numFmtId="0">
      <sharedItems/>
    </cacheField>
    <cacheField name="SOCH_Counselling" numFmtId="0">
      <sharedItems/>
    </cacheField>
    <cacheField name="Beyond_The_Bell" numFmtId="0">
      <sharedItems/>
    </cacheField>
    <cacheField name="Robotics_Lab" numFmtId="0">
      <sharedItems/>
    </cacheField>
    <cacheField name="Coding_Lab" numFmtId="0">
      <sharedItems/>
    </cacheField>
    <cacheField name="Dance_Music_Theatre" numFmtId="0">
      <sharedItems/>
    </cacheField>
    <cacheField name="Active_Schooling" numFmtId="0">
      <sharedItems/>
    </cacheField>
    <cacheField name="OCFP_Program" numFmtId="0">
      <sharedItems/>
    </cacheField>
    <cacheField name="SeatBlocking_Objection" numFmtId="0">
      <sharedItems/>
    </cacheField>
    <cacheField name="Imprest_Fees_Concern" numFmtId="0">
      <sharedItems/>
    </cacheField>
    <cacheField name="Transport_Not_Available" numFmtId="0">
      <sharedItems/>
    </cacheField>
    <cacheField name="Safety_Concern" numFmtId="0">
      <sharedItems/>
    </cacheField>
    <cacheField name="Workshop_Interest" numFmtId="0">
      <sharedItems/>
    </cacheField>
    <cacheField name="Followup_Priority" numFmtId="0">
      <sharedItems/>
    </cacheField>
  </cacheFields>
  <extLst>
    <ext xmlns:x14="http://schemas.microsoft.com/office/spreadsheetml/2009/9/main" uri="{725AE2AE-9491-48be-B2B4-4EB974FC3084}">
      <x14:pivotCacheDefinition pivotCacheId="10492750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Transfer (Already in other school)"/>
    <s v="DPS"/>
    <s v="Grade 2"/>
    <s v="2026-04-16"/>
    <s v="Interested"/>
    <x v="0"/>
    <x v="0"/>
    <s v="No"/>
    <s v="No - not available"/>
    <s v="No"/>
    <s v="Yes"/>
    <s v="Yes"/>
    <s v="No"/>
    <s v="No"/>
    <s v="No"/>
    <s v="No"/>
    <s v="No"/>
    <s v="No"/>
    <s v="No"/>
    <s v="No"/>
    <s v="No"/>
    <s v="No"/>
    <s v="Yes"/>
    <s v="No"/>
    <s v="No"/>
    <s v="No"/>
    <s v="No"/>
    <s v="Yes"/>
    <s v="Yes"/>
    <s v="No"/>
    <s v="Yes"/>
    <s v="N/A"/>
  </r>
  <r>
    <x v="1"/>
    <s v="Kindergarten (New)"/>
    <s v="N/A"/>
    <s v="Grade 2"/>
    <s v="2026-05-22"/>
    <s v="Interested"/>
    <x v="1"/>
    <x v="1"/>
    <s v="No"/>
    <s v="Yes - within route"/>
    <s v="No"/>
    <s v="No"/>
    <s v="No"/>
    <s v="No"/>
    <s v="No"/>
    <s v="No"/>
    <s v="Yes"/>
    <s v="No"/>
    <s v="No"/>
    <s v="Yes"/>
    <s v="No"/>
    <s v="Yes"/>
    <s v="No"/>
    <s v="No"/>
    <s v="No"/>
    <s v="No"/>
    <s v="No"/>
    <s v="Yes"/>
    <s v="No"/>
    <s v="No"/>
    <s v="No"/>
    <s v="No"/>
    <s v="N/A"/>
  </r>
  <r>
    <x v="2"/>
    <s v="Kindergarten (New)"/>
    <s v="N/A"/>
    <s v="Grade 1"/>
    <s v="2026-04-11"/>
    <s v="Not interested"/>
    <x v="2"/>
    <x v="2"/>
    <s v="Yes"/>
    <s v="No - not available"/>
    <s v="No"/>
    <s v="No"/>
    <s v="No"/>
    <s v="No"/>
    <s v="Yes"/>
    <s v="Yes"/>
    <s v="No"/>
    <s v="No"/>
    <s v="No"/>
    <s v="No"/>
    <s v="No"/>
    <s v="No"/>
    <s v="No"/>
    <s v="No"/>
    <s v="No"/>
    <s v="No"/>
    <s v="No"/>
    <s v="Yes"/>
    <s v="No"/>
    <s v="Yes"/>
    <s v="Yes"/>
    <s v="No"/>
    <s v="Low"/>
  </r>
  <r>
    <x v="3"/>
    <s v="Transfer (Already in other school)"/>
    <s v="St. Mary's"/>
    <s v="Grade 3"/>
    <s v="2026-04-15"/>
    <s v="Callback requested"/>
    <x v="3"/>
    <x v="1"/>
    <s v="Yes"/>
    <s v="Yes - within route"/>
    <s v="Yes"/>
    <s v="No"/>
    <s v="No"/>
    <s v="No"/>
    <s v="Yes"/>
    <s v="No"/>
    <s v="No"/>
    <s v="No"/>
    <s v="No"/>
    <s v="No"/>
    <s v="Yes"/>
    <s v="No"/>
    <s v="No"/>
    <s v="No"/>
    <s v="Yes"/>
    <s v="No"/>
    <s v="No"/>
    <s v="No"/>
    <s v="No"/>
    <s v="No"/>
    <s v="No"/>
    <s v="No"/>
    <s v="N/A"/>
  </r>
  <r>
    <x v="4"/>
    <s v="Kindergarten (New)"/>
    <s v="N/A"/>
    <s v="Grade 6"/>
    <s v="2026-05-19"/>
    <s v="Interested"/>
    <x v="4"/>
    <x v="0"/>
    <s v="No"/>
    <s v="Not sure"/>
    <s v="No"/>
    <s v="Yes"/>
    <s v="No"/>
    <s v="Yes"/>
    <s v="No"/>
    <s v="No"/>
    <s v="No"/>
    <s v="No"/>
    <s v="No"/>
    <s v="Yes"/>
    <s v="No"/>
    <s v="No"/>
    <s v="No"/>
    <s v="No"/>
    <s v="Yes"/>
    <s v="No"/>
    <s v="Yes"/>
    <s v="No"/>
    <s v="No"/>
    <s v="No"/>
    <s v="No"/>
    <s v="Yes"/>
    <s v="N/A"/>
  </r>
  <r>
    <x v="5"/>
    <s v="Transfer (Already in other school)"/>
    <s v="Jain International"/>
    <s v="UKG"/>
    <s v="2026-04-17"/>
    <s v="Not interested"/>
    <x v="5"/>
    <x v="1"/>
    <s v="Yes"/>
    <s v="No - not available"/>
    <s v="No"/>
    <s v="Yes"/>
    <s v="No"/>
    <s v="No"/>
    <s v="No"/>
    <s v="No"/>
    <s v="No"/>
    <s v="Yes"/>
    <s v="No"/>
    <s v="No"/>
    <s v="No"/>
    <s v="No"/>
    <s v="Yes"/>
    <s v="Yes"/>
    <s v="No"/>
    <s v="No"/>
    <s v="No"/>
    <s v="No"/>
    <s v="Yes"/>
    <s v="Yes"/>
    <s v="Yes"/>
    <s v="No"/>
    <s v="N/A"/>
  </r>
  <r>
    <x v="6"/>
    <s v="Kindergarten (New)"/>
    <s v="N/A"/>
    <s v="UKG"/>
    <s v="2026-05-17"/>
    <s v="Callback requested"/>
    <x v="5"/>
    <x v="1"/>
    <s v="Yes"/>
    <s v="No - not available"/>
    <s v="No"/>
    <s v="Yes"/>
    <s v="No"/>
    <s v="No"/>
    <s v="No"/>
    <s v="No"/>
    <s v="Yes"/>
    <s v="No"/>
    <s v="No"/>
    <s v="Yes"/>
    <s v="No"/>
    <s v="No"/>
    <s v="Yes"/>
    <s v="Yes"/>
    <s v="No"/>
    <s v="Yes"/>
    <s v="No"/>
    <s v="Yes"/>
    <s v="No"/>
    <s v="Yes"/>
    <s v="Yes"/>
    <s v="No"/>
    <s v="N/A"/>
  </r>
  <r>
    <x v="7"/>
    <s v="Transfer (Already in other school)"/>
    <s v="DPS"/>
    <s v="Nursery"/>
    <s v="2026-05-12"/>
    <s v="Callback requested"/>
    <x v="6"/>
    <x v="0"/>
    <s v="Yes"/>
    <s v="No - not available"/>
    <s v="Yes"/>
    <s v="No"/>
    <s v="No"/>
    <s v="No"/>
    <s v="No"/>
    <s v="Yes"/>
    <s v="Yes"/>
    <s v="No"/>
    <s v="No"/>
    <s v="No"/>
    <s v="No"/>
    <s v="No"/>
    <s v="No"/>
    <s v="No"/>
    <s v="No"/>
    <s v="No"/>
    <s v="No"/>
    <s v="Yes"/>
    <s v="Yes"/>
    <s v="Yes"/>
    <s v="No"/>
    <s v="Yes"/>
    <s v="N/A"/>
  </r>
  <r>
    <x v="8"/>
    <s v="Kindergarten (New)"/>
    <s v="N/A"/>
    <s v="Nursery"/>
    <s v="2026-05-08"/>
    <s v="Not interested"/>
    <x v="4"/>
    <x v="2"/>
    <s v="Yes"/>
    <s v="Yes - within route"/>
    <s v="No"/>
    <s v="Yes"/>
    <s v="Yes"/>
    <s v="No"/>
    <s v="No"/>
    <s v="Yes"/>
    <s v="Yes"/>
    <s v="No"/>
    <s v="No"/>
    <s v="No"/>
    <s v="No"/>
    <s v="No"/>
    <s v="No"/>
    <s v="No"/>
    <s v="No"/>
    <s v="No"/>
    <s v="No"/>
    <s v="Yes"/>
    <s v="Yes"/>
    <s v="No"/>
    <s v="No"/>
    <s v="Yes"/>
    <s v="Low"/>
  </r>
  <r>
    <x v="9"/>
    <s v="Kindergarten (New)"/>
    <s v="N/A"/>
    <s v="LKG"/>
    <s v="2026-04-01"/>
    <s v="Not interested"/>
    <x v="5"/>
    <x v="2"/>
    <s v="Yes"/>
    <s v="Yes - within route"/>
    <s v="Yes"/>
    <s v="Yes"/>
    <s v="No"/>
    <s v="No"/>
    <s v="No"/>
    <s v="No"/>
    <s v="No"/>
    <s v="No"/>
    <s v="No"/>
    <s v="No"/>
    <s v="No"/>
    <s v="No"/>
    <s v="Yes"/>
    <s v="No"/>
    <s v="Yes"/>
    <s v="No"/>
    <s v="No"/>
    <s v="Yes"/>
    <s v="Yes"/>
    <s v="No"/>
    <s v="Yes"/>
    <s v="No"/>
    <s v="Low"/>
  </r>
  <r>
    <x v="10"/>
    <s v="Kindergarten (New)"/>
    <s v="N/A"/>
    <s v="Grade 7"/>
    <s v="2026-04-14"/>
    <s v="Callback requested"/>
    <x v="7"/>
    <x v="1"/>
    <s v="No"/>
    <s v="No - not available"/>
    <s v="Yes"/>
    <s v="No"/>
    <s v="Yes"/>
    <s v="No"/>
    <s v="No"/>
    <s v="Yes"/>
    <s v="No"/>
    <s v="Yes"/>
    <s v="No"/>
    <s v="Yes"/>
    <s v="No"/>
    <s v="No"/>
    <s v="No"/>
    <s v="Yes"/>
    <s v="No"/>
    <s v="No"/>
    <s v="No"/>
    <s v="Yes"/>
    <s v="Yes"/>
    <s v="Yes"/>
    <s v="No"/>
    <s v="Yes"/>
    <s v="N/A"/>
  </r>
  <r>
    <x v="11"/>
    <s v="Kindergarten (New)"/>
    <s v="N/A"/>
    <s v="Grade 3"/>
    <s v="2026-05-28"/>
    <s v="Callback requested"/>
    <x v="6"/>
    <x v="0"/>
    <s v="No"/>
    <s v="No - not available"/>
    <s v="No"/>
    <s v="No"/>
    <s v="No"/>
    <s v="No"/>
    <s v="No"/>
    <s v="No"/>
    <s v="No"/>
    <s v="No"/>
    <s v="No"/>
    <s v="No"/>
    <s v="No"/>
    <s v="No"/>
    <s v="Yes"/>
    <s v="No"/>
    <s v="No"/>
    <s v="No"/>
    <s v="No"/>
    <s v="Yes"/>
    <s v="Yes"/>
    <s v="Yes"/>
    <s v="No"/>
    <s v="Yes"/>
    <s v="N/A"/>
  </r>
  <r>
    <x v="12"/>
    <s v="Kindergarten (New)"/>
    <s v="N/A"/>
    <s v="Grade 5"/>
    <s v="2026-04-15"/>
    <s v="Interested"/>
    <x v="4"/>
    <x v="1"/>
    <s v="No"/>
    <s v="No - not available"/>
    <s v="Yes"/>
    <s v="Yes"/>
    <s v="Yes"/>
    <s v="No"/>
    <s v="No"/>
    <s v="No"/>
    <s v="No"/>
    <s v="No"/>
    <s v="No"/>
    <s v="No"/>
    <s v="No"/>
    <s v="No"/>
    <s v="Yes"/>
    <s v="No"/>
    <s v="Yes"/>
    <s v="No"/>
    <s v="No"/>
    <s v="Yes"/>
    <s v="No"/>
    <s v="Yes"/>
    <s v="No"/>
    <s v="Yes"/>
    <s v="N/A"/>
  </r>
  <r>
    <x v="13"/>
    <s v="Transfer (Already in other school)"/>
    <s v="Jain International"/>
    <s v="LKG"/>
    <s v="2026-04-25"/>
    <s v="Callback requested"/>
    <x v="7"/>
    <x v="1"/>
    <s v="No"/>
    <s v="Yes - within route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Yes"/>
    <s v="No"/>
    <s v="No"/>
    <s v="No"/>
    <s v="No"/>
    <s v="N/A"/>
  </r>
  <r>
    <x v="14"/>
    <s v="Transfer (Already in other school)"/>
    <s v="Jain International"/>
    <s v="Grade 7"/>
    <s v="2026-04-20"/>
    <s v="Not interested"/>
    <x v="6"/>
    <x v="0"/>
    <s v="Yes"/>
    <s v="No - not available"/>
    <s v="No"/>
    <s v="No"/>
    <s v="No"/>
    <s v="No"/>
    <s v="Yes"/>
    <s v="No"/>
    <s v="No"/>
    <s v="No"/>
    <s v="No"/>
    <s v="Yes"/>
    <s v="No"/>
    <s v="No"/>
    <s v="No"/>
    <s v="No"/>
    <s v="No"/>
    <s v="No"/>
    <s v="No"/>
    <s v="Yes"/>
    <s v="Yes"/>
    <s v="Yes"/>
    <s v="Yes"/>
    <s v="Yes"/>
    <s v="N/A"/>
  </r>
  <r>
    <x v="15"/>
    <s v="Transfer (Already in other school)"/>
    <s v="DPS"/>
    <s v="Grade 5"/>
    <s v="2026-04-27"/>
    <s v="Callback requested"/>
    <x v="5"/>
    <x v="0"/>
    <s v="No"/>
    <s v="No - not available"/>
    <s v="Yes"/>
    <s v="No"/>
    <s v="Yes"/>
    <s v="No"/>
    <s v="No"/>
    <s v="Yes"/>
    <s v="No"/>
    <s v="Yes"/>
    <s v="No"/>
    <s v="No"/>
    <s v="Yes"/>
    <s v="No"/>
    <s v="No"/>
    <s v="No"/>
    <s v="No"/>
    <s v="No"/>
    <s v="No"/>
    <s v="No"/>
    <s v="No"/>
    <s v="Yes"/>
    <s v="No"/>
    <s v="No"/>
    <s v="N/A"/>
  </r>
  <r>
    <x v="16"/>
    <s v="Transfer (Already in other school)"/>
    <s v="Jain International"/>
    <s v="Grade 4"/>
    <s v="2026-05-24"/>
    <s v="Callback requested"/>
    <x v="1"/>
    <x v="2"/>
    <s v="Yes"/>
    <s v="No - not available"/>
    <s v="No"/>
    <s v="Yes"/>
    <s v="Yes"/>
    <s v="No"/>
    <s v="No"/>
    <s v="No"/>
    <s v="No"/>
    <s v="No"/>
    <s v="Yes"/>
    <s v="No"/>
    <s v="No"/>
    <s v="No"/>
    <s v="No"/>
    <s v="Yes"/>
    <s v="Yes"/>
    <s v="No"/>
    <s v="No"/>
    <s v="Yes"/>
    <s v="No"/>
    <s v="Yes"/>
    <s v="No"/>
    <s v="Yes"/>
    <s v="Low"/>
  </r>
  <r>
    <x v="17"/>
    <s v="Kindergarten (New)"/>
    <s v="N/A"/>
    <s v="Grade 4"/>
    <s v="2026-04-25"/>
    <s v="Callback requested"/>
    <x v="5"/>
    <x v="2"/>
    <s v="Yes"/>
    <s v="Yes - within route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Low"/>
  </r>
  <r>
    <x v="18"/>
    <s v="Kindergarten (New)"/>
    <s v="N/A"/>
    <s v="Grade 4"/>
    <s v="2026-05-08"/>
    <s v="Not interested"/>
    <x v="8"/>
    <x v="0"/>
    <s v="No"/>
    <s v="Not sure"/>
    <s v="Yes"/>
    <s v="Yes"/>
    <s v="No"/>
    <s v="No"/>
    <s v="No"/>
    <s v="No"/>
    <s v="No"/>
    <s v="No"/>
    <s v="No"/>
    <s v="No"/>
    <s v="No"/>
    <s v="No"/>
    <s v="Yes"/>
    <s v="No"/>
    <s v="Yes"/>
    <s v="Yes"/>
    <s v="No"/>
    <s v="Yes"/>
    <s v="Yes"/>
    <s v="No"/>
    <s v="Yes"/>
    <s v="No"/>
    <s v="N/A"/>
  </r>
  <r>
    <x v="19"/>
    <s v="Transfer (Already in other school)"/>
    <s v="NPS"/>
    <s v="UKG"/>
    <s v="2026-05-01"/>
    <s v="Not interested"/>
    <x v="5"/>
    <x v="2"/>
    <s v="Yes"/>
    <s v="No - not available"/>
    <s v="Yes"/>
    <s v="No"/>
    <s v="No"/>
    <s v="No"/>
    <s v="No"/>
    <s v="No"/>
    <s v="No"/>
    <s v="No"/>
    <s v="No"/>
    <s v="No"/>
    <s v="No"/>
    <s v="No"/>
    <s v="No"/>
    <s v="No"/>
    <s v="Yes"/>
    <s v="No"/>
    <s v="No"/>
    <s v="Yes"/>
    <s v="No"/>
    <s v="Yes"/>
    <s v="No"/>
    <s v="No"/>
    <s v="Low"/>
  </r>
  <r>
    <x v="20"/>
    <s v="Transfer (Already in other school)"/>
    <s v="Other Govt"/>
    <s v="Grade 7"/>
    <s v="2026-05-21"/>
    <s v="Interested"/>
    <x v="9"/>
    <x v="1"/>
    <s v="No"/>
    <s v="No - not available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Yes"/>
    <s v="No"/>
    <s v="Yes"/>
    <s v="No"/>
    <s v="Yes"/>
    <s v="N/A"/>
  </r>
  <r>
    <x v="21"/>
    <s v="Transfer (Already in other school)"/>
    <s v="NPS"/>
    <s v="Grade 5"/>
    <s v="2026-05-07"/>
    <s v="Not interested"/>
    <x v="10"/>
    <x v="1"/>
    <s v="No"/>
    <s v="Yes - within route"/>
    <s v="No"/>
    <s v="No"/>
    <s v="No"/>
    <s v="No"/>
    <s v="No"/>
    <s v="No"/>
    <s v="No"/>
    <s v="No"/>
    <s v="No"/>
    <s v="No"/>
    <s v="No"/>
    <s v="No"/>
    <s v="Yes"/>
    <s v="No"/>
    <s v="No"/>
    <s v="No"/>
    <s v="Yes"/>
    <s v="Yes"/>
    <s v="No"/>
    <s v="No"/>
    <s v="Yes"/>
    <s v="No"/>
    <s v="N/A"/>
  </r>
  <r>
    <x v="22"/>
    <s v="Kindergarten (New)"/>
    <s v="N/A"/>
    <s v="Grade 6"/>
    <s v="2026-05-04"/>
    <s v="Interested"/>
    <x v="0"/>
    <x v="1"/>
    <s v="No"/>
    <s v="No - not available"/>
    <s v="No"/>
    <s v="Yes"/>
    <s v="No"/>
    <s v="No"/>
    <s v="No"/>
    <s v="No"/>
    <s v="No"/>
    <s v="Yes"/>
    <s v="No"/>
    <s v="No"/>
    <s v="No"/>
    <s v="No"/>
    <s v="No"/>
    <s v="No"/>
    <s v="No"/>
    <s v="No"/>
    <s v="No"/>
    <s v="Yes"/>
    <s v="No"/>
    <s v="Yes"/>
    <s v="Yes"/>
    <s v="Yes"/>
    <s v="N/A"/>
  </r>
  <r>
    <x v="23"/>
    <s v="Kindergarten (New)"/>
    <s v="N/A"/>
    <s v="Grade 2"/>
    <s v="2026-05-15"/>
    <s v="Callback requested"/>
    <x v="11"/>
    <x v="2"/>
    <s v="Yes"/>
    <s v="No - not available"/>
    <s v="No"/>
    <s v="No"/>
    <s v="No"/>
    <s v="No"/>
    <s v="Yes"/>
    <s v="Yes"/>
    <s v="No"/>
    <s v="No"/>
    <s v="No"/>
    <s v="No"/>
    <s v="Yes"/>
    <s v="No"/>
    <s v="Yes"/>
    <s v="Yes"/>
    <s v="No"/>
    <s v="No"/>
    <s v="No"/>
    <s v="Yes"/>
    <s v="No"/>
    <s v="Yes"/>
    <s v="No"/>
    <s v="No"/>
    <s v="High"/>
  </r>
  <r>
    <x v="24"/>
    <s v="Kindergarten (New)"/>
    <s v="N/A"/>
    <s v="Grade 6"/>
    <s v="2026-04-25"/>
    <s v="Not interested"/>
    <x v="1"/>
    <x v="1"/>
    <s v="No"/>
    <s v="No - not available"/>
    <s v="No"/>
    <s v="Yes"/>
    <s v="No"/>
    <s v="Yes"/>
    <s v="No"/>
    <s v="No"/>
    <s v="No"/>
    <s v="Yes"/>
    <s v="No"/>
    <s v="No"/>
    <s v="Yes"/>
    <s v="No"/>
    <s v="No"/>
    <s v="No"/>
    <s v="Yes"/>
    <s v="No"/>
    <s v="No"/>
    <s v="Yes"/>
    <s v="Yes"/>
    <s v="Yes"/>
    <s v="Yes"/>
    <s v="No"/>
    <s v="N/A"/>
  </r>
  <r>
    <x v="25"/>
    <s v="Kindergarten (New)"/>
    <s v="N/A"/>
    <s v="Grade 1"/>
    <s v="2026-04-28"/>
    <s v="Interested"/>
    <x v="7"/>
    <x v="1"/>
    <s v="No"/>
    <s v="Not sure"/>
    <s v="Yes"/>
    <s v="Yes"/>
    <s v="No"/>
    <s v="No"/>
    <s v="No"/>
    <s v="Yes"/>
    <s v="Yes"/>
    <s v="No"/>
    <s v="No"/>
    <s v="No"/>
    <s v="No"/>
    <s v="No"/>
    <s v="Yes"/>
    <s v="Yes"/>
    <s v="No"/>
    <s v="No"/>
    <s v="No"/>
    <s v="Yes"/>
    <s v="No"/>
    <s v="No"/>
    <s v="No"/>
    <s v="No"/>
    <s v="N/A"/>
  </r>
  <r>
    <x v="26"/>
    <s v="Transfer (Already in other school)"/>
    <s v="Other Govt"/>
    <s v="Grade 8"/>
    <s v="2026-05-23"/>
    <s v="Interested"/>
    <x v="8"/>
    <x v="2"/>
    <s v="Yes"/>
    <s v="Yes - within route"/>
    <s v="No"/>
    <s v="No"/>
    <s v="No"/>
    <s v="No"/>
    <s v="No"/>
    <s v="No"/>
    <s v="No"/>
    <s v="No"/>
    <s v="No"/>
    <s v="No"/>
    <s v="Yes"/>
    <s v="No"/>
    <s v="No"/>
    <s v="No"/>
    <s v="No"/>
    <s v="No"/>
    <s v="No"/>
    <s v="Yes"/>
    <s v="Yes"/>
    <s v="No"/>
    <s v="Yes"/>
    <s v="Yes"/>
    <s v="Low"/>
  </r>
  <r>
    <x v="27"/>
    <s v="Transfer (Already in other school)"/>
    <s v="Other Govt"/>
    <s v="Grade 6"/>
    <s v="2026-05-23"/>
    <s v="Callback requested"/>
    <x v="11"/>
    <x v="2"/>
    <s v="Yes"/>
    <s v="No - not available"/>
    <s v="Yes"/>
    <s v="No"/>
    <s v="No"/>
    <s v="No"/>
    <s v="No"/>
    <s v="Yes"/>
    <s v="No"/>
    <s v="Yes"/>
    <s v="No"/>
    <s v="No"/>
    <s v="No"/>
    <s v="Yes"/>
    <s v="No"/>
    <s v="No"/>
    <s v="No"/>
    <s v="No"/>
    <s v="Yes"/>
    <s v="No"/>
    <s v="Yes"/>
    <s v="Yes"/>
    <s v="No"/>
    <s v="Yes"/>
    <s v="High"/>
  </r>
  <r>
    <x v="28"/>
    <s v="Transfer (Already in other school)"/>
    <s v="Other Private"/>
    <s v="UKG"/>
    <s v="2026-05-02"/>
    <s v="Callback requested"/>
    <x v="2"/>
    <x v="1"/>
    <s v="Yes"/>
    <s v="Not sure"/>
    <s v="No"/>
    <s v="Yes"/>
    <s v="No"/>
    <s v="No"/>
    <s v="No"/>
    <s v="No"/>
    <s v="No"/>
    <s v="No"/>
    <s v="No"/>
    <s v="No"/>
    <s v="No"/>
    <s v="No"/>
    <s v="No"/>
    <s v="No"/>
    <s v="Yes"/>
    <s v="No"/>
    <s v="No"/>
    <s v="No"/>
    <s v="No"/>
    <s v="No"/>
    <s v="Yes"/>
    <s v="No"/>
    <s v="N/A"/>
  </r>
  <r>
    <x v="29"/>
    <s v="Kindergarten (New)"/>
    <s v="N/A"/>
    <s v="Grade 6"/>
    <s v="2026-05-19"/>
    <s v="Not interested"/>
    <x v="1"/>
    <x v="2"/>
    <s v="Yes"/>
    <s v="Not sure"/>
    <s v="No"/>
    <s v="Yes"/>
    <s v="No"/>
    <s v="No"/>
    <s v="No"/>
    <s v="Yes"/>
    <s v="No"/>
    <s v="No"/>
    <s v="No"/>
    <s v="No"/>
    <s v="No"/>
    <s v="No"/>
    <s v="Yes"/>
    <s v="No"/>
    <s v="Yes"/>
    <s v="No"/>
    <s v="No"/>
    <s v="Yes"/>
    <s v="No"/>
    <s v="No"/>
    <s v="Yes"/>
    <s v="No"/>
    <s v="Low"/>
  </r>
  <r>
    <x v="30"/>
    <s v="Kindergarten (New)"/>
    <s v="N/A"/>
    <s v="UKG"/>
    <s v="2026-04-27"/>
    <s v="Callback requested"/>
    <x v="3"/>
    <x v="0"/>
    <s v="No"/>
    <s v="Yes - within route"/>
    <s v="No"/>
    <s v="No"/>
    <s v="Yes"/>
    <s v="No"/>
    <s v="No"/>
    <s v="No"/>
    <s v="No"/>
    <s v="No"/>
    <s v="No"/>
    <s v="No"/>
    <s v="No"/>
    <s v="No"/>
    <s v="Yes"/>
    <s v="No"/>
    <s v="Yes"/>
    <s v="No"/>
    <s v="Yes"/>
    <s v="No"/>
    <s v="No"/>
    <s v="No"/>
    <s v="Yes"/>
    <s v="Yes"/>
    <s v="N/A"/>
  </r>
  <r>
    <x v="31"/>
    <s v="Kindergarten (New)"/>
    <s v="N/A"/>
    <s v="Nursery"/>
    <s v="2026-04-03"/>
    <s v="Interested"/>
    <x v="8"/>
    <x v="1"/>
    <s v="No"/>
    <s v="Yes - within route"/>
    <s v="No"/>
    <s v="No"/>
    <s v="No"/>
    <s v="Yes"/>
    <s v="Yes"/>
    <s v="No"/>
    <s v="No"/>
    <s v="No"/>
    <s v="No"/>
    <s v="Yes"/>
    <s v="No"/>
    <s v="No"/>
    <s v="No"/>
    <s v="Yes"/>
    <s v="No"/>
    <s v="No"/>
    <s v="No"/>
    <s v="Yes"/>
    <s v="No"/>
    <s v="No"/>
    <s v="No"/>
    <s v="No"/>
    <s v="N/A"/>
  </r>
  <r>
    <x v="32"/>
    <s v="Transfer (Already in other school)"/>
    <s v="St. Mary's"/>
    <s v="Grade 2"/>
    <s v="2026-04-30"/>
    <s v="Callback requested"/>
    <x v="7"/>
    <x v="2"/>
    <s v="Yes"/>
    <s v="Not sure"/>
    <s v="Yes"/>
    <s v="No"/>
    <s v="No"/>
    <s v="No"/>
    <s v="No"/>
    <s v="Yes"/>
    <s v="No"/>
    <s v="No"/>
    <s v="Yes"/>
    <s v="No"/>
    <s v="No"/>
    <s v="No"/>
    <s v="No"/>
    <s v="No"/>
    <s v="No"/>
    <s v="No"/>
    <s v="No"/>
    <s v="Yes"/>
    <s v="No"/>
    <s v="No"/>
    <s v="Yes"/>
    <s v="Yes"/>
    <s v="High"/>
  </r>
  <r>
    <x v="33"/>
    <s v="Kindergarten (New)"/>
    <s v="N/A"/>
    <s v="Grade 8"/>
    <s v="2026-05-14"/>
    <s v="Callback requested"/>
    <x v="11"/>
    <x v="0"/>
    <s v="No"/>
    <s v="Yes - within route"/>
    <s v="No"/>
    <s v="Yes"/>
    <s v="No"/>
    <s v="Yes"/>
    <s v="No"/>
    <s v="Yes"/>
    <s v="No"/>
    <s v="No"/>
    <s v="No"/>
    <s v="No"/>
    <s v="No"/>
    <s v="No"/>
    <s v="No"/>
    <s v="Yes"/>
    <s v="No"/>
    <s v="No"/>
    <s v="No"/>
    <s v="Yes"/>
    <s v="No"/>
    <s v="No"/>
    <s v="No"/>
    <s v="Yes"/>
    <s v="N/A"/>
  </r>
  <r>
    <x v="34"/>
    <s v="Kindergarten (New)"/>
    <s v="N/A"/>
    <s v="Grade 1"/>
    <s v="2026-05-26"/>
    <s v="Not interested"/>
    <x v="11"/>
    <x v="2"/>
    <s v="Yes"/>
    <s v="Not sure"/>
    <s v="No"/>
    <s v="No"/>
    <s v="No"/>
    <s v="Yes"/>
    <s v="No"/>
    <s v="No"/>
    <s v="No"/>
    <s v="No"/>
    <s v="No"/>
    <s v="No"/>
    <s v="No"/>
    <s v="Yes"/>
    <s v="Yes"/>
    <s v="Yes"/>
    <s v="No"/>
    <s v="No"/>
    <s v="No"/>
    <s v="Yes"/>
    <s v="Yes"/>
    <s v="No"/>
    <s v="No"/>
    <s v="No"/>
    <s v="High"/>
  </r>
  <r>
    <x v="35"/>
    <s v="Kindergarten (New)"/>
    <s v="N/A"/>
    <s v="Grade 4"/>
    <s v="2026-04-08"/>
    <s v="Interested"/>
    <x v="8"/>
    <x v="1"/>
    <s v="No"/>
    <s v="Yes - within route"/>
    <s v="No"/>
    <s v="Yes"/>
    <s v="No"/>
    <s v="No"/>
    <s v="No"/>
    <s v="No"/>
    <s v="No"/>
    <s v="No"/>
    <s v="No"/>
    <s v="No"/>
    <s v="Yes"/>
    <s v="No"/>
    <s v="No"/>
    <s v="No"/>
    <s v="Yes"/>
    <s v="No"/>
    <s v="No"/>
    <s v="No"/>
    <s v="Yes"/>
    <s v="No"/>
    <s v="No"/>
    <s v="No"/>
    <s v="N/A"/>
  </r>
  <r>
    <x v="36"/>
    <s v="Transfer (Already in other school)"/>
    <s v="DAV"/>
    <s v="Nursery"/>
    <s v="2026-04-26"/>
    <s v="Interested"/>
    <x v="12"/>
    <x v="2"/>
    <s v="Yes"/>
    <s v="Not sure"/>
    <s v="Yes"/>
    <s v="Yes"/>
    <s v="No"/>
    <s v="No"/>
    <s v="Yes"/>
    <s v="Yes"/>
    <s v="No"/>
    <s v="No"/>
    <s v="No"/>
    <s v="No"/>
    <s v="No"/>
    <s v="No"/>
    <s v="No"/>
    <s v="No"/>
    <s v="No"/>
    <s v="No"/>
    <s v="No"/>
    <s v="Yes"/>
    <s v="No"/>
    <s v="No"/>
    <s v="No"/>
    <s v="No"/>
    <s v="High"/>
  </r>
  <r>
    <x v="37"/>
    <s v="Transfer (Already in other school)"/>
    <s v="DPS"/>
    <s v="Grade 8"/>
    <s v="2026-05-26"/>
    <s v="Interested"/>
    <x v="8"/>
    <x v="1"/>
    <s v="No"/>
    <s v="No - not available"/>
    <s v="Yes"/>
    <s v="Yes"/>
    <s v="Yes"/>
    <s v="No"/>
    <s v="Yes"/>
    <s v="Yes"/>
    <s v="No"/>
    <s v="No"/>
    <s v="No"/>
    <s v="No"/>
    <s v="No"/>
    <s v="No"/>
    <s v="No"/>
    <s v="No"/>
    <s v="No"/>
    <s v="No"/>
    <s v="No"/>
    <s v="Yes"/>
    <s v="No"/>
    <s v="Yes"/>
    <s v="No"/>
    <s v="Yes"/>
    <s v="N/A"/>
  </r>
  <r>
    <x v="38"/>
    <s v="Kindergarten (New)"/>
    <s v="N/A"/>
    <s v="Grade 5"/>
    <s v="2026-04-05"/>
    <s v="Callback requested"/>
    <x v="13"/>
    <x v="1"/>
    <s v="Yes"/>
    <s v="Yes - within route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Yes"/>
    <s v="No"/>
    <s v="No"/>
    <s v="Yes"/>
    <s v="Yes"/>
    <s v="N/A"/>
  </r>
  <r>
    <x v="39"/>
    <s v="Transfer (Already in other school)"/>
    <s v="DAV"/>
    <s v="UKG"/>
    <s v="2026-05-14"/>
    <s v="Callback requested"/>
    <x v="12"/>
    <x v="0"/>
    <s v="Yes"/>
    <s v="No - not available"/>
    <s v="No"/>
    <s v="No"/>
    <s v="Yes"/>
    <s v="Yes"/>
    <s v="No"/>
    <s v="No"/>
    <s v="No"/>
    <s v="No"/>
    <s v="No"/>
    <s v="No"/>
    <s v="No"/>
    <s v="No"/>
    <s v="Yes"/>
    <s v="No"/>
    <s v="No"/>
    <s v="Yes"/>
    <s v="No"/>
    <s v="Yes"/>
    <s v="No"/>
    <s v="Yes"/>
    <s v="No"/>
    <s v="Yes"/>
    <s v="N/A"/>
  </r>
  <r>
    <x v="40"/>
    <s v="Kindergarten (New)"/>
    <s v="N/A"/>
    <s v="LKG"/>
    <s v="2026-05-19"/>
    <s v="Interested"/>
    <x v="7"/>
    <x v="2"/>
    <s v="Yes"/>
    <s v="Not sure"/>
    <s v="No"/>
    <s v="No"/>
    <s v="No"/>
    <s v="No"/>
    <s v="Yes"/>
    <s v="No"/>
    <s v="No"/>
    <s v="No"/>
    <s v="No"/>
    <s v="No"/>
    <s v="No"/>
    <s v="No"/>
    <s v="Yes"/>
    <s v="No"/>
    <s v="No"/>
    <s v="No"/>
    <s v="No"/>
    <s v="Yes"/>
    <s v="No"/>
    <s v="No"/>
    <s v="Yes"/>
    <s v="Yes"/>
    <s v="High"/>
  </r>
  <r>
    <x v="41"/>
    <s v="Kindergarten (New)"/>
    <s v="N/A"/>
    <s v="Grade 3"/>
    <s v="2026-04-20"/>
    <s v="Callback requested"/>
    <x v="14"/>
    <x v="2"/>
    <s v="Yes"/>
    <s v="No - not available"/>
    <s v="No"/>
    <s v="Yes"/>
    <s v="No"/>
    <s v="Yes"/>
    <s v="Yes"/>
    <s v="No"/>
    <s v="No"/>
    <s v="No"/>
    <s v="No"/>
    <s v="Yes"/>
    <s v="No"/>
    <s v="No"/>
    <s v="Yes"/>
    <s v="No"/>
    <s v="No"/>
    <s v="No"/>
    <s v="No"/>
    <s v="Yes"/>
    <s v="No"/>
    <s v="Yes"/>
    <s v="Yes"/>
    <s v="Yes"/>
    <s v="Low"/>
  </r>
  <r>
    <x v="42"/>
    <s v="Transfer (Already in other school)"/>
    <s v="Other Govt"/>
    <s v="UKG"/>
    <s v="2026-05-19"/>
    <s v="Interested"/>
    <x v="13"/>
    <x v="0"/>
    <s v="No"/>
    <s v="No - not available"/>
    <s v="Yes"/>
    <s v="No"/>
    <s v="Yes"/>
    <s v="No"/>
    <s v="No"/>
    <s v="No"/>
    <s v="No"/>
    <s v="No"/>
    <s v="No"/>
    <s v="No"/>
    <s v="Yes"/>
    <s v="No"/>
    <s v="No"/>
    <s v="No"/>
    <s v="No"/>
    <s v="No"/>
    <s v="No"/>
    <s v="No"/>
    <s v="Yes"/>
    <s v="Yes"/>
    <s v="No"/>
    <s v="Yes"/>
    <s v="N/A"/>
  </r>
  <r>
    <x v="43"/>
    <s v="Transfer (Already in other school)"/>
    <s v="DAV"/>
    <s v="LKG"/>
    <s v="2026-04-28"/>
    <s v="Callback requested"/>
    <x v="7"/>
    <x v="1"/>
    <s v="No"/>
    <s v="Yes - within route"/>
    <s v="No"/>
    <s v="No"/>
    <s v="Yes"/>
    <s v="No"/>
    <s v="Yes"/>
    <s v="No"/>
    <s v="No"/>
    <s v="Yes"/>
    <s v="No"/>
    <s v="No"/>
    <s v="No"/>
    <s v="No"/>
    <s v="Yes"/>
    <s v="Yes"/>
    <s v="Yes"/>
    <s v="Yes"/>
    <s v="No"/>
    <s v="No"/>
    <s v="Yes"/>
    <s v="No"/>
    <s v="No"/>
    <s v="No"/>
    <s v="N/A"/>
  </r>
  <r>
    <x v="44"/>
    <s v="Kindergarten (New)"/>
    <s v="N/A"/>
    <s v="Grade 7"/>
    <s v="2026-05-19"/>
    <s v="Not interested"/>
    <x v="11"/>
    <x v="2"/>
    <s v="Yes"/>
    <s v="No - not available"/>
    <s v="No"/>
    <s v="No"/>
    <s v="No"/>
    <s v="No"/>
    <s v="Yes"/>
    <s v="Yes"/>
    <s v="No"/>
    <s v="No"/>
    <s v="No"/>
    <s v="Yes"/>
    <s v="No"/>
    <s v="No"/>
    <s v="No"/>
    <s v="Yes"/>
    <s v="No"/>
    <s v="Yes"/>
    <s v="No"/>
    <s v="No"/>
    <s v="No"/>
    <s v="Yes"/>
    <s v="No"/>
    <s v="No"/>
    <s v="High"/>
  </r>
  <r>
    <x v="45"/>
    <s v="Transfer (Already in other school)"/>
    <s v="DPS"/>
    <s v="Grade 5"/>
    <s v="2026-05-29"/>
    <s v="Callback requested"/>
    <x v="11"/>
    <x v="0"/>
    <s v="No"/>
    <s v="No - not available"/>
    <s v="No"/>
    <s v="No"/>
    <s v="No"/>
    <s v="No"/>
    <s v="No"/>
    <s v="Yes"/>
    <s v="No"/>
    <s v="Yes"/>
    <s v="No"/>
    <s v="No"/>
    <s v="No"/>
    <s v="No"/>
    <s v="No"/>
    <s v="No"/>
    <s v="No"/>
    <s v="No"/>
    <s v="No"/>
    <s v="Yes"/>
    <s v="No"/>
    <s v="Yes"/>
    <s v="No"/>
    <s v="Yes"/>
    <s v="N/A"/>
  </r>
  <r>
    <x v="46"/>
    <s v="Kindergarten (New)"/>
    <s v="N/A"/>
    <s v="Grade 4"/>
    <s v="2026-04-19"/>
    <s v="Interested"/>
    <x v="6"/>
    <x v="1"/>
    <s v="No"/>
    <s v="Not sure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Yes"/>
    <s v="No"/>
    <s v="No"/>
    <s v="No"/>
    <s v="Yes"/>
    <s v="N/A"/>
  </r>
  <r>
    <x v="47"/>
    <s v="Kindergarten (New)"/>
    <s v="N/A"/>
    <s v="UKG"/>
    <s v="2026-04-14"/>
    <s v="Interested"/>
    <x v="14"/>
    <x v="1"/>
    <s v="Yes"/>
    <s v="Yes - within route"/>
    <s v="Yes"/>
    <s v="No"/>
    <s v="Yes"/>
    <s v="No"/>
    <s v="No"/>
    <s v="No"/>
    <s v="Yes"/>
    <s v="No"/>
    <s v="No"/>
    <s v="Yes"/>
    <s v="No"/>
    <s v="No"/>
    <s v="No"/>
    <s v="No"/>
    <s v="No"/>
    <s v="Yes"/>
    <s v="No"/>
    <s v="Yes"/>
    <s v="No"/>
    <s v="No"/>
    <s v="Yes"/>
    <s v="Yes"/>
    <s v="N/A"/>
  </r>
  <r>
    <x v="48"/>
    <s v="Kindergarten (New)"/>
    <s v="N/A"/>
    <s v="Grade 5"/>
    <s v="2026-04-15"/>
    <s v="Not interested"/>
    <x v="2"/>
    <x v="2"/>
    <s v="Yes"/>
    <s v="No - not available"/>
    <s v="No"/>
    <s v="Yes"/>
    <s v="No"/>
    <s v="No"/>
    <s v="No"/>
    <s v="No"/>
    <s v="No"/>
    <s v="No"/>
    <s v="No"/>
    <s v="Yes"/>
    <s v="No"/>
    <s v="No"/>
    <s v="No"/>
    <s v="Yes"/>
    <s v="No"/>
    <s v="No"/>
    <s v="No"/>
    <s v="No"/>
    <s v="Yes"/>
    <s v="Yes"/>
    <s v="Yes"/>
    <s v="Yes"/>
    <s v="Low"/>
  </r>
  <r>
    <x v="49"/>
    <s v="Kindergarten (New)"/>
    <s v="N/A"/>
    <s v="Grade 6"/>
    <s v="2026-04-10"/>
    <s v="Callback requested"/>
    <x v="12"/>
    <x v="2"/>
    <s v="Yes"/>
    <s v="Yes - within route"/>
    <s v="No"/>
    <s v="No"/>
    <s v="Yes"/>
    <s v="Yes"/>
    <s v="No"/>
    <s v="Yes"/>
    <s v="No"/>
    <s v="No"/>
    <s v="Yes"/>
    <s v="No"/>
    <s v="No"/>
    <s v="No"/>
    <s v="No"/>
    <s v="Yes"/>
    <s v="Yes"/>
    <s v="No"/>
    <s v="No"/>
    <s v="Yes"/>
    <s v="No"/>
    <s v="No"/>
    <s v="No"/>
    <s v="Yes"/>
    <s v="High"/>
  </r>
  <r>
    <x v="50"/>
    <s v="Kindergarten (New)"/>
    <s v="N/A"/>
    <s v="Grade 2"/>
    <s v="2026-04-14"/>
    <s v="Callback requested"/>
    <x v="9"/>
    <x v="2"/>
    <s v="Yes"/>
    <s v="No - not available"/>
    <s v="No"/>
    <s v="No"/>
    <s v="Yes"/>
    <s v="Yes"/>
    <s v="Yes"/>
    <s v="No"/>
    <s v="No"/>
    <s v="Yes"/>
    <s v="No"/>
    <s v="No"/>
    <s v="No"/>
    <s v="No"/>
    <s v="No"/>
    <s v="No"/>
    <s v="Yes"/>
    <s v="Yes"/>
    <s v="No"/>
    <s v="Yes"/>
    <s v="Yes"/>
    <s v="Yes"/>
    <s v="No"/>
    <s v="No"/>
    <s v="Low"/>
  </r>
  <r>
    <x v="51"/>
    <s v="Kindergarten (New)"/>
    <s v="N/A"/>
    <s v="Grade 6"/>
    <s v="2026-05-05"/>
    <s v="Not interested"/>
    <x v="9"/>
    <x v="1"/>
    <s v="No"/>
    <s v="No - not available"/>
    <s v="No"/>
    <s v="No"/>
    <s v="No"/>
    <s v="Yes"/>
    <s v="No"/>
    <s v="Yes"/>
    <s v="No"/>
    <s v="No"/>
    <s v="No"/>
    <s v="No"/>
    <s v="No"/>
    <s v="Yes"/>
    <s v="No"/>
    <s v="No"/>
    <s v="Yes"/>
    <s v="No"/>
    <s v="No"/>
    <s v="No"/>
    <s v="No"/>
    <s v="Yes"/>
    <s v="Yes"/>
    <s v="No"/>
    <s v="N/A"/>
  </r>
  <r>
    <x v="52"/>
    <s v="Kindergarten (New)"/>
    <s v="N/A"/>
    <s v="Grade 2"/>
    <s v="2026-04-13"/>
    <s v="Interested"/>
    <x v="7"/>
    <x v="2"/>
    <s v="Yes"/>
    <s v="Yes - within route"/>
    <s v="No"/>
    <s v="No"/>
    <s v="No"/>
    <s v="No"/>
    <s v="Yes"/>
    <s v="No"/>
    <s v="No"/>
    <s v="No"/>
    <s v="Yes"/>
    <s v="No"/>
    <s v="No"/>
    <s v="No"/>
    <s v="No"/>
    <s v="No"/>
    <s v="No"/>
    <s v="No"/>
    <s v="No"/>
    <s v="Yes"/>
    <s v="No"/>
    <s v="No"/>
    <s v="No"/>
    <s v="No"/>
    <s v="High"/>
  </r>
  <r>
    <x v="53"/>
    <s v="Kindergarten (New)"/>
    <s v="N/A"/>
    <s v="LKG"/>
    <s v="2026-05-17"/>
    <s v="Not interested"/>
    <x v="10"/>
    <x v="1"/>
    <s v="No"/>
    <s v="No - not available"/>
    <s v="No"/>
    <s v="Yes"/>
    <s v="No"/>
    <s v="No"/>
    <s v="No"/>
    <s v="No"/>
    <s v="No"/>
    <s v="No"/>
    <s v="Yes"/>
    <s v="No"/>
    <s v="No"/>
    <s v="No"/>
    <s v="No"/>
    <s v="No"/>
    <s v="No"/>
    <s v="Yes"/>
    <s v="No"/>
    <s v="Yes"/>
    <s v="No"/>
    <s v="Yes"/>
    <s v="No"/>
    <s v="No"/>
    <s v="N/A"/>
  </r>
  <r>
    <x v="54"/>
    <s v="Kindergarten (New)"/>
    <s v="N/A"/>
    <s v="Grade 7"/>
    <s v="2026-05-14"/>
    <s v="Callback requested"/>
    <x v="8"/>
    <x v="0"/>
    <s v="Yes"/>
    <s v="No - not available"/>
    <s v="No"/>
    <s v="No"/>
    <s v="Yes"/>
    <s v="Yes"/>
    <s v="No"/>
    <s v="No"/>
    <s v="No"/>
    <s v="Yes"/>
    <s v="No"/>
    <s v="No"/>
    <s v="No"/>
    <s v="No"/>
    <s v="No"/>
    <s v="Yes"/>
    <s v="Yes"/>
    <s v="No"/>
    <s v="No"/>
    <s v="Yes"/>
    <s v="No"/>
    <s v="Yes"/>
    <s v="No"/>
    <s v="Yes"/>
    <s v="N/A"/>
  </r>
  <r>
    <x v="55"/>
    <s v="Transfer (Already in other school)"/>
    <s v="Other Private"/>
    <s v="Grade 5"/>
    <s v="2026-04-13"/>
    <s v="Interested"/>
    <x v="6"/>
    <x v="0"/>
    <s v="Yes"/>
    <s v="No - not available"/>
    <s v="No"/>
    <s v="No"/>
    <s v="No"/>
    <s v="No"/>
    <s v="No"/>
    <s v="No"/>
    <s v="No"/>
    <s v="No"/>
    <s v="No"/>
    <s v="Yes"/>
    <s v="No"/>
    <s v="No"/>
    <s v="Yes"/>
    <s v="No"/>
    <s v="Yes"/>
    <s v="No"/>
    <s v="No"/>
    <s v="Yes"/>
    <s v="No"/>
    <s v="Yes"/>
    <s v="No"/>
    <s v="No"/>
    <s v="N/A"/>
  </r>
  <r>
    <x v="56"/>
    <s v="Kindergarten (New)"/>
    <s v="N/A"/>
    <s v="Grade 6"/>
    <s v="2026-04-09"/>
    <s v="Not interested"/>
    <x v="12"/>
    <x v="0"/>
    <s v="No"/>
    <s v="No - not available"/>
    <s v="No"/>
    <s v="No"/>
    <s v="No"/>
    <s v="No"/>
    <s v="Yes"/>
    <s v="Yes"/>
    <s v="Yes"/>
    <s v="No"/>
    <s v="No"/>
    <s v="Yes"/>
    <s v="No"/>
    <s v="No"/>
    <s v="No"/>
    <s v="No"/>
    <s v="Yes"/>
    <s v="No"/>
    <s v="No"/>
    <s v="No"/>
    <s v="Yes"/>
    <s v="Yes"/>
    <s v="Yes"/>
    <s v="No"/>
    <s v="N/A"/>
  </r>
  <r>
    <x v="57"/>
    <s v="Kindergarten (New)"/>
    <s v="N/A"/>
    <s v="Grade 6"/>
    <s v="2026-05-28"/>
    <s v="Interested"/>
    <x v="12"/>
    <x v="1"/>
    <s v="No"/>
    <s v="No - not available"/>
    <s v="Yes"/>
    <s v="No"/>
    <s v="No"/>
    <s v="No"/>
    <s v="Yes"/>
    <s v="No"/>
    <s v="No"/>
    <s v="No"/>
    <s v="No"/>
    <s v="No"/>
    <s v="No"/>
    <s v="No"/>
    <s v="No"/>
    <s v="Yes"/>
    <s v="Yes"/>
    <s v="No"/>
    <s v="No"/>
    <s v="No"/>
    <s v="No"/>
    <s v="Yes"/>
    <s v="No"/>
    <s v="Yes"/>
    <s v="N/A"/>
  </r>
  <r>
    <x v="58"/>
    <s v="Transfer (Already in other school)"/>
    <s v="DAV"/>
    <s v="Grade 8"/>
    <s v="2026-04-20"/>
    <s v="Not interested"/>
    <x v="14"/>
    <x v="2"/>
    <s v="Yes"/>
    <s v="No - not available"/>
    <s v="No"/>
    <s v="No"/>
    <s v="Yes"/>
    <s v="No"/>
    <s v="No"/>
    <s v="Yes"/>
    <s v="Yes"/>
    <s v="No"/>
    <s v="No"/>
    <s v="No"/>
    <s v="No"/>
    <s v="No"/>
    <s v="No"/>
    <s v="No"/>
    <s v="Yes"/>
    <s v="No"/>
    <s v="No"/>
    <s v="No"/>
    <s v="Yes"/>
    <s v="Yes"/>
    <s v="Yes"/>
    <s v="No"/>
    <s v="Low"/>
  </r>
  <r>
    <x v="59"/>
    <s v="Transfer (Already in other school)"/>
    <s v="St. Mary's"/>
    <s v="Grade 1"/>
    <s v="2026-05-26"/>
    <s v="Callback requested"/>
    <x v="6"/>
    <x v="1"/>
    <s v="No"/>
    <s v="Yes - within route"/>
    <s v="No"/>
    <s v="No"/>
    <s v="No"/>
    <s v="No"/>
    <s v="No"/>
    <s v="Yes"/>
    <s v="No"/>
    <s v="No"/>
    <s v="No"/>
    <s v="Yes"/>
    <s v="No"/>
    <s v="Yes"/>
    <s v="No"/>
    <s v="No"/>
    <s v="No"/>
    <s v="No"/>
    <s v="No"/>
    <s v="No"/>
    <s v="No"/>
    <s v="No"/>
    <s v="No"/>
    <s v="No"/>
    <s v="N/A"/>
  </r>
  <r>
    <x v="60"/>
    <s v="Transfer (Already in other school)"/>
    <s v="DAV"/>
    <s v="Nursery"/>
    <s v="2026-04-26"/>
    <s v="Interested"/>
    <x v="9"/>
    <x v="0"/>
    <s v="No"/>
    <s v="Yes - within route"/>
    <s v="No"/>
    <s v="No"/>
    <s v="No"/>
    <s v="No"/>
    <s v="No"/>
    <s v="Yes"/>
    <s v="No"/>
    <s v="No"/>
    <s v="No"/>
    <s v="No"/>
    <s v="No"/>
    <s v="No"/>
    <s v="Yes"/>
    <s v="No"/>
    <s v="No"/>
    <s v="Yes"/>
    <s v="No"/>
    <s v="No"/>
    <s v="No"/>
    <s v="No"/>
    <s v="No"/>
    <s v="No"/>
    <s v="N/A"/>
  </r>
  <r>
    <x v="61"/>
    <s v="Kindergarten (New)"/>
    <s v="N/A"/>
    <s v="Grade 3"/>
    <s v="2026-05-30"/>
    <s v="Not interested"/>
    <x v="3"/>
    <x v="1"/>
    <s v="No"/>
    <s v="Not sure"/>
    <s v="No"/>
    <s v="No"/>
    <s v="No"/>
    <s v="No"/>
    <s v="No"/>
    <s v="No"/>
    <s v="Yes"/>
    <s v="No"/>
    <s v="Yes"/>
    <s v="No"/>
    <s v="No"/>
    <s v="No"/>
    <s v="No"/>
    <s v="No"/>
    <s v="No"/>
    <s v="No"/>
    <s v="No"/>
    <s v="No"/>
    <s v="Yes"/>
    <s v="No"/>
    <s v="Yes"/>
    <s v="Yes"/>
    <s v="N/A"/>
  </r>
  <r>
    <x v="62"/>
    <s v="Kindergarten (New)"/>
    <s v="N/A"/>
    <s v="Grade 7"/>
    <s v="2026-05-20"/>
    <s v="Callback requested"/>
    <x v="3"/>
    <x v="2"/>
    <s v="Yes"/>
    <s v="Yes - within route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Yes"/>
    <s v="No"/>
    <s v="No"/>
    <s v="No"/>
    <s v="No"/>
    <s v="High"/>
  </r>
  <r>
    <x v="63"/>
    <s v="Kindergarten (New)"/>
    <s v="N/A"/>
    <s v="Grade 8"/>
    <s v="2026-05-20"/>
    <s v="Callback requested"/>
    <x v="11"/>
    <x v="1"/>
    <s v="No"/>
    <s v="No - not available"/>
    <s v="Yes"/>
    <s v="Yes"/>
    <s v="No"/>
    <s v="No"/>
    <s v="No"/>
    <s v="Yes"/>
    <s v="No"/>
    <s v="No"/>
    <s v="No"/>
    <s v="No"/>
    <s v="No"/>
    <s v="No"/>
    <s v="No"/>
    <s v="No"/>
    <s v="Yes"/>
    <s v="No"/>
    <s v="No"/>
    <s v="No"/>
    <s v="No"/>
    <s v="Yes"/>
    <s v="No"/>
    <s v="Yes"/>
    <s v="N/A"/>
  </r>
  <r>
    <x v="64"/>
    <s v="Kindergarten (New)"/>
    <s v="N/A"/>
    <s v="LKG"/>
    <s v="2026-04-23"/>
    <s v="Callback requested"/>
    <x v="11"/>
    <x v="1"/>
    <s v="No"/>
    <s v="Yes - within route"/>
    <s v="No"/>
    <s v="No"/>
    <s v="No"/>
    <s v="Yes"/>
    <s v="No"/>
    <s v="No"/>
    <s v="No"/>
    <s v="No"/>
    <s v="No"/>
    <s v="No"/>
    <s v="Yes"/>
    <s v="No"/>
    <s v="No"/>
    <s v="Yes"/>
    <s v="No"/>
    <s v="Yes"/>
    <s v="No"/>
    <s v="No"/>
    <s v="No"/>
    <s v="No"/>
    <s v="No"/>
    <s v="Yes"/>
    <s v="N/A"/>
  </r>
  <r>
    <x v="65"/>
    <s v="Kindergarten (New)"/>
    <s v="N/A"/>
    <s v="Grade 2"/>
    <s v="2026-04-21"/>
    <s v="Interested"/>
    <x v="8"/>
    <x v="2"/>
    <s v="Yes"/>
    <s v="Yes - within route"/>
    <s v="No"/>
    <s v="No"/>
    <s v="No"/>
    <s v="No"/>
    <s v="No"/>
    <s v="Yes"/>
    <s v="No"/>
    <s v="Yes"/>
    <s v="No"/>
    <s v="No"/>
    <s v="No"/>
    <s v="No"/>
    <s v="No"/>
    <s v="No"/>
    <s v="No"/>
    <s v="No"/>
    <s v="Yes"/>
    <s v="Yes"/>
    <s v="Yes"/>
    <s v="No"/>
    <s v="No"/>
    <s v="Yes"/>
    <s v="Low"/>
  </r>
  <r>
    <x v="66"/>
    <s v="Transfer (Already in other school)"/>
    <s v="Jain International"/>
    <s v="Grade 6"/>
    <s v="2026-05-02"/>
    <s v="Callback requested"/>
    <x v="3"/>
    <x v="2"/>
    <s v="Yes"/>
    <s v="No - not available"/>
    <s v="Yes"/>
    <s v="Yes"/>
    <s v="Yes"/>
    <s v="No"/>
    <s v="Yes"/>
    <s v="Yes"/>
    <s v="No"/>
    <s v="No"/>
    <s v="No"/>
    <s v="No"/>
    <s v="No"/>
    <s v="No"/>
    <s v="No"/>
    <s v="No"/>
    <s v="No"/>
    <s v="Yes"/>
    <s v="No"/>
    <s v="Yes"/>
    <s v="Yes"/>
    <s v="Yes"/>
    <s v="No"/>
    <s v="Yes"/>
    <s v="High"/>
  </r>
  <r>
    <x v="67"/>
    <s v="Kindergarten (New)"/>
    <s v="N/A"/>
    <s v="Grade 1"/>
    <s v="2026-04-29"/>
    <s v="Callback requested"/>
    <x v="13"/>
    <x v="1"/>
    <s v="No"/>
    <s v="Yes - within route"/>
    <s v="No"/>
    <s v="No"/>
    <s v="Yes"/>
    <s v="Yes"/>
    <s v="No"/>
    <s v="No"/>
    <s v="No"/>
    <s v="No"/>
    <s v="No"/>
    <s v="No"/>
    <s v="Yes"/>
    <s v="No"/>
    <s v="No"/>
    <s v="No"/>
    <s v="Yes"/>
    <s v="Yes"/>
    <s v="No"/>
    <s v="No"/>
    <s v="No"/>
    <s v="No"/>
    <s v="No"/>
    <s v="Yes"/>
    <s v="N/A"/>
  </r>
  <r>
    <x v="68"/>
    <s v="Kindergarten (New)"/>
    <s v="N/A"/>
    <s v="Grade 8"/>
    <s v="2026-05-23"/>
    <s v="Interested"/>
    <x v="7"/>
    <x v="1"/>
    <s v="No"/>
    <s v="No - not available"/>
    <s v="No"/>
    <s v="No"/>
    <s v="No"/>
    <s v="No"/>
    <s v="Yes"/>
    <s v="No"/>
    <s v="No"/>
    <s v="No"/>
    <s v="No"/>
    <s v="Yes"/>
    <s v="No"/>
    <s v="No"/>
    <s v="No"/>
    <s v="No"/>
    <s v="No"/>
    <s v="No"/>
    <s v="No"/>
    <s v="Yes"/>
    <s v="Yes"/>
    <s v="Yes"/>
    <s v="No"/>
    <s v="No"/>
    <s v="N/A"/>
  </r>
  <r>
    <x v="69"/>
    <s v="Kindergarten (New)"/>
    <s v="N/A"/>
    <s v="Grade 8"/>
    <s v="2026-05-22"/>
    <s v="Interested"/>
    <x v="8"/>
    <x v="1"/>
    <s v="No"/>
    <s v="No - not available"/>
    <s v="No"/>
    <s v="Yes"/>
    <s v="No"/>
    <s v="Yes"/>
    <s v="No"/>
    <s v="No"/>
    <s v="Yes"/>
    <s v="No"/>
    <s v="Yes"/>
    <s v="No"/>
    <s v="No"/>
    <s v="No"/>
    <s v="No"/>
    <s v="No"/>
    <s v="No"/>
    <s v="No"/>
    <s v="No"/>
    <s v="No"/>
    <s v="Yes"/>
    <s v="Yes"/>
    <s v="No"/>
    <s v="No"/>
    <s v="N/A"/>
  </r>
  <r>
    <x v="70"/>
    <s v="Kindergarten (New)"/>
    <s v="N/A"/>
    <s v="Grade 8"/>
    <s v="2026-05-26"/>
    <s v="Interested"/>
    <x v="3"/>
    <x v="2"/>
    <s v="Yes"/>
    <s v="Yes - within route"/>
    <s v="Yes"/>
    <s v="No"/>
    <s v="No"/>
    <s v="No"/>
    <s v="No"/>
    <s v="No"/>
    <s v="No"/>
    <s v="No"/>
    <s v="No"/>
    <s v="No"/>
    <s v="No"/>
    <s v="No"/>
    <s v="Yes"/>
    <s v="No"/>
    <s v="No"/>
    <s v="Yes"/>
    <s v="No"/>
    <s v="No"/>
    <s v="No"/>
    <s v="No"/>
    <s v="Yes"/>
    <s v="Yes"/>
    <s v="High"/>
  </r>
  <r>
    <x v="71"/>
    <s v="Kindergarten (New)"/>
    <s v="N/A"/>
    <s v="Grade 5"/>
    <s v="2026-05-09"/>
    <s v="Not interested"/>
    <x v="6"/>
    <x v="0"/>
    <s v="No"/>
    <s v="No - not available"/>
    <s v="Yes"/>
    <s v="Yes"/>
    <s v="No"/>
    <s v="Yes"/>
    <s v="No"/>
    <s v="Yes"/>
    <s v="No"/>
    <s v="No"/>
    <s v="No"/>
    <s v="No"/>
    <s v="No"/>
    <s v="No"/>
    <s v="No"/>
    <s v="Yes"/>
    <s v="No"/>
    <s v="No"/>
    <s v="No"/>
    <s v="Yes"/>
    <s v="No"/>
    <s v="Yes"/>
    <s v="No"/>
    <s v="No"/>
    <s v="N/A"/>
  </r>
  <r>
    <x v="72"/>
    <s v="Transfer (Already in other school)"/>
    <s v="St. Mary's"/>
    <s v="Grade 6"/>
    <s v="2026-05-02"/>
    <s v="Interested"/>
    <x v="13"/>
    <x v="2"/>
    <s v="Yes"/>
    <s v="No - not available"/>
    <s v="No"/>
    <s v="No"/>
    <s v="No"/>
    <s v="Yes"/>
    <s v="No"/>
    <s v="No"/>
    <s v="No"/>
    <s v="No"/>
    <s v="No"/>
    <s v="No"/>
    <s v="No"/>
    <s v="No"/>
    <s v="No"/>
    <s v="No"/>
    <s v="No"/>
    <s v="Yes"/>
    <s v="No"/>
    <s v="Yes"/>
    <s v="No"/>
    <s v="Yes"/>
    <s v="No"/>
    <s v="No"/>
    <s v="Low"/>
  </r>
  <r>
    <x v="73"/>
    <s v="Kindergarten (New)"/>
    <s v="N/A"/>
    <s v="Grade 1"/>
    <s v="2026-04-04"/>
    <s v="Interested"/>
    <x v="11"/>
    <x v="1"/>
    <s v="Yes"/>
    <s v="Yes - within route"/>
    <s v="No"/>
    <s v="No"/>
    <s v="No"/>
    <s v="No"/>
    <s v="Yes"/>
    <s v="No"/>
    <s v="No"/>
    <s v="No"/>
    <s v="No"/>
    <s v="Yes"/>
    <s v="No"/>
    <s v="No"/>
    <s v="No"/>
    <s v="No"/>
    <s v="No"/>
    <s v="No"/>
    <s v="No"/>
    <s v="Yes"/>
    <s v="Yes"/>
    <s v="No"/>
    <s v="Yes"/>
    <s v="Yes"/>
    <s v="N/A"/>
  </r>
  <r>
    <x v="74"/>
    <s v="Transfer (Already in other school)"/>
    <s v="DAV"/>
    <s v="Grade 2"/>
    <s v="2026-04-24"/>
    <s v="Not interested"/>
    <x v="1"/>
    <x v="1"/>
    <s v="No"/>
    <s v="No - not available"/>
    <s v="No"/>
    <s v="No"/>
    <s v="Yes"/>
    <s v="No"/>
    <s v="Yes"/>
    <s v="No"/>
    <s v="No"/>
    <s v="Yes"/>
    <s v="No"/>
    <s v="No"/>
    <s v="No"/>
    <s v="No"/>
    <s v="Yes"/>
    <s v="No"/>
    <s v="No"/>
    <s v="No"/>
    <s v="No"/>
    <s v="No"/>
    <s v="Yes"/>
    <s v="Yes"/>
    <s v="No"/>
    <s v="Yes"/>
    <s v="N/A"/>
  </r>
  <r>
    <x v="75"/>
    <s v="Transfer (Already in other school)"/>
    <s v="Other Private"/>
    <s v="Grade 5"/>
    <s v="2026-04-30"/>
    <s v="Interested"/>
    <x v="14"/>
    <x v="1"/>
    <s v="Yes"/>
    <s v="No - not available"/>
    <s v="Yes"/>
    <s v="No"/>
    <s v="No"/>
    <s v="No"/>
    <s v="No"/>
    <s v="No"/>
    <s v="Yes"/>
    <s v="No"/>
    <s v="Yes"/>
    <s v="Yes"/>
    <s v="Yes"/>
    <s v="No"/>
    <s v="Yes"/>
    <s v="Yes"/>
    <s v="Yes"/>
    <s v="No"/>
    <s v="Yes"/>
    <s v="No"/>
    <s v="No"/>
    <s v="Yes"/>
    <s v="No"/>
    <s v="No"/>
    <s v="N/A"/>
  </r>
  <r>
    <x v="76"/>
    <s v="Kindergarten (New)"/>
    <s v="N/A"/>
    <s v="Grade 6"/>
    <s v="2026-05-06"/>
    <s v="Not interested"/>
    <x v="8"/>
    <x v="1"/>
    <s v="Yes"/>
    <s v="Not sure"/>
    <s v="Yes"/>
    <s v="No"/>
    <s v="No"/>
    <s v="No"/>
    <s v="No"/>
    <s v="Yes"/>
    <s v="Yes"/>
    <s v="Yes"/>
    <s v="No"/>
    <s v="No"/>
    <s v="No"/>
    <s v="No"/>
    <s v="No"/>
    <s v="No"/>
    <s v="No"/>
    <s v="No"/>
    <s v="No"/>
    <s v="Yes"/>
    <s v="No"/>
    <s v="No"/>
    <s v="No"/>
    <s v="No"/>
    <s v="N/A"/>
  </r>
  <r>
    <x v="77"/>
    <s v="Transfer (Already in other school)"/>
    <s v="Other Govt"/>
    <s v="Nursery"/>
    <s v="2026-04-06"/>
    <s v="Not interested"/>
    <x v="10"/>
    <x v="1"/>
    <s v="Yes"/>
    <s v="Yes - within route"/>
    <s v="Yes"/>
    <s v="No"/>
    <s v="No"/>
    <s v="No"/>
    <s v="No"/>
    <s v="No"/>
    <s v="Yes"/>
    <s v="No"/>
    <s v="Yes"/>
    <s v="Yes"/>
    <s v="No"/>
    <s v="No"/>
    <s v="No"/>
    <s v="Yes"/>
    <s v="Yes"/>
    <s v="No"/>
    <s v="No"/>
    <s v="No"/>
    <s v="Yes"/>
    <s v="No"/>
    <s v="No"/>
    <s v="Yes"/>
    <s v="N/A"/>
  </r>
  <r>
    <x v="78"/>
    <s v="Transfer (Already in other school)"/>
    <s v="Jain International"/>
    <s v="UKG"/>
    <s v="2026-05-19"/>
    <s v="Callback requested"/>
    <x v="6"/>
    <x v="1"/>
    <s v="Yes"/>
    <s v="Yes - within route"/>
    <s v="Yes"/>
    <s v="No"/>
    <s v="No"/>
    <s v="No"/>
    <s v="No"/>
    <s v="No"/>
    <s v="Yes"/>
    <s v="No"/>
    <s v="No"/>
    <s v="No"/>
    <s v="No"/>
    <s v="Yes"/>
    <s v="No"/>
    <s v="No"/>
    <s v="No"/>
    <s v="No"/>
    <s v="No"/>
    <s v="No"/>
    <s v="No"/>
    <s v="No"/>
    <s v="Yes"/>
    <s v="Yes"/>
    <s v="N/A"/>
  </r>
  <r>
    <x v="79"/>
    <s v="Transfer (Already in other school)"/>
    <s v="St. Mary's"/>
    <s v="Grade 1"/>
    <s v="2026-04-23"/>
    <s v="Not interested"/>
    <x v="10"/>
    <x v="1"/>
    <s v="No"/>
    <s v="No - not available"/>
    <s v="Yes"/>
    <s v="No"/>
    <s v="No"/>
    <s v="No"/>
    <s v="Yes"/>
    <s v="Yes"/>
    <s v="No"/>
    <s v="No"/>
    <s v="No"/>
    <s v="No"/>
    <s v="Yes"/>
    <s v="Yes"/>
    <s v="No"/>
    <s v="No"/>
    <s v="Yes"/>
    <s v="Yes"/>
    <s v="No"/>
    <s v="No"/>
    <s v="No"/>
    <s v="Yes"/>
    <s v="No"/>
    <s v="Yes"/>
    <s v="N/A"/>
  </r>
  <r>
    <x v="80"/>
    <s v="Kindergarten (New)"/>
    <s v="N/A"/>
    <s v="LKG"/>
    <s v="2026-05-09"/>
    <s v="Not interested"/>
    <x v="13"/>
    <x v="2"/>
    <s v="Yes"/>
    <s v="Yes - within route"/>
    <s v="No"/>
    <s v="No"/>
    <s v="No"/>
    <s v="No"/>
    <s v="No"/>
    <s v="Yes"/>
    <s v="No"/>
    <s v="No"/>
    <s v="No"/>
    <s v="No"/>
    <s v="No"/>
    <s v="Yes"/>
    <s v="Yes"/>
    <s v="No"/>
    <s v="Yes"/>
    <s v="No"/>
    <s v="No"/>
    <s v="No"/>
    <s v="No"/>
    <s v="No"/>
    <s v="No"/>
    <s v="Yes"/>
    <s v="Low"/>
  </r>
  <r>
    <x v="81"/>
    <s v="Kindergarten (New)"/>
    <s v="N/A"/>
    <s v="Nursery"/>
    <s v="2026-04-26"/>
    <s v="Interested"/>
    <x v="5"/>
    <x v="1"/>
    <s v="No"/>
    <s v="No - not available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Yes"/>
    <s v="Yes"/>
    <s v="No"/>
    <s v="N/A"/>
  </r>
  <r>
    <x v="82"/>
    <s v="Kindergarten (New)"/>
    <s v="N/A"/>
    <s v="Grade 6"/>
    <s v="2026-04-02"/>
    <s v="Callback requested"/>
    <x v="1"/>
    <x v="2"/>
    <s v="Yes"/>
    <s v="Yes - within route"/>
    <s v="No"/>
    <s v="No"/>
    <s v="Yes"/>
    <s v="No"/>
    <s v="No"/>
    <s v="No"/>
    <s v="Yes"/>
    <s v="No"/>
    <s v="No"/>
    <s v="Yes"/>
    <s v="No"/>
    <s v="No"/>
    <s v="No"/>
    <s v="No"/>
    <s v="No"/>
    <s v="No"/>
    <s v="No"/>
    <s v="No"/>
    <s v="Yes"/>
    <s v="No"/>
    <s v="No"/>
    <s v="No"/>
    <s v="Low"/>
  </r>
  <r>
    <x v="83"/>
    <s v="Transfer (Already in other school)"/>
    <s v="Jain International"/>
    <s v="Grade 8"/>
    <s v="2026-05-29"/>
    <s v="Interested"/>
    <x v="14"/>
    <x v="1"/>
    <s v="No"/>
    <s v="Yes - within route"/>
    <s v="No"/>
    <s v="No"/>
    <s v="No"/>
    <s v="No"/>
    <s v="No"/>
    <s v="Yes"/>
    <s v="No"/>
    <s v="Yes"/>
    <s v="Yes"/>
    <s v="No"/>
    <s v="No"/>
    <s v="No"/>
    <s v="No"/>
    <s v="No"/>
    <s v="No"/>
    <s v="No"/>
    <s v="No"/>
    <s v="No"/>
    <s v="Yes"/>
    <s v="No"/>
    <s v="No"/>
    <s v="Yes"/>
    <s v="N/A"/>
  </r>
  <r>
    <x v="84"/>
    <s v="Kindergarten (New)"/>
    <s v="N/A"/>
    <s v="LKG"/>
    <s v="2026-04-08"/>
    <s v="Callback requested"/>
    <x v="0"/>
    <x v="0"/>
    <s v="No"/>
    <s v="No - not available"/>
    <s v="Yes"/>
    <s v="No"/>
    <s v="No"/>
    <s v="No"/>
    <s v="No"/>
    <s v="Yes"/>
    <s v="No"/>
    <s v="No"/>
    <s v="Yes"/>
    <s v="No"/>
    <s v="No"/>
    <s v="No"/>
    <s v="Yes"/>
    <s v="No"/>
    <s v="Yes"/>
    <s v="Yes"/>
    <s v="No"/>
    <s v="Yes"/>
    <s v="No"/>
    <s v="Yes"/>
    <s v="Yes"/>
    <s v="Yes"/>
    <s v="N/A"/>
  </r>
  <r>
    <x v="85"/>
    <s v="Kindergarten (New)"/>
    <s v="N/A"/>
    <s v="Grade 8"/>
    <s v="2026-05-13"/>
    <s v="Not interested"/>
    <x v="8"/>
    <x v="2"/>
    <s v="Yes"/>
    <s v="Not sure"/>
    <s v="No"/>
    <s v="No"/>
    <s v="Yes"/>
    <s v="No"/>
    <s v="Yes"/>
    <s v="No"/>
    <s v="No"/>
    <s v="No"/>
    <s v="No"/>
    <s v="No"/>
    <s v="No"/>
    <s v="No"/>
    <s v="Yes"/>
    <s v="No"/>
    <s v="No"/>
    <s v="No"/>
    <s v="No"/>
    <s v="Yes"/>
    <s v="Yes"/>
    <s v="No"/>
    <s v="Yes"/>
    <s v="Yes"/>
    <s v="Low"/>
  </r>
  <r>
    <x v="86"/>
    <s v="Kindergarten (New)"/>
    <s v="N/A"/>
    <s v="UKG"/>
    <s v="2026-05-23"/>
    <s v="Not interested"/>
    <x v="14"/>
    <x v="1"/>
    <s v="No"/>
    <s v="Yes - within route"/>
    <s v="Yes"/>
    <s v="Yes"/>
    <s v="No"/>
    <s v="No"/>
    <s v="No"/>
    <s v="No"/>
    <s v="No"/>
    <s v="Yes"/>
    <s v="No"/>
    <s v="Yes"/>
    <s v="No"/>
    <s v="No"/>
    <s v="No"/>
    <s v="No"/>
    <s v="No"/>
    <s v="No"/>
    <s v="No"/>
    <s v="Yes"/>
    <s v="No"/>
    <s v="No"/>
    <s v="Yes"/>
    <s v="Yes"/>
    <s v="N/A"/>
  </r>
  <r>
    <x v="87"/>
    <s v="Kindergarten (New)"/>
    <s v="N/A"/>
    <s v="UKG"/>
    <s v="2026-04-13"/>
    <s v="Callback requested"/>
    <x v="9"/>
    <x v="1"/>
    <s v="No"/>
    <s v="No - not available"/>
    <s v="No"/>
    <s v="No"/>
    <s v="No"/>
    <s v="Yes"/>
    <s v="Yes"/>
    <s v="No"/>
    <s v="No"/>
    <s v="No"/>
    <s v="No"/>
    <s v="Yes"/>
    <s v="No"/>
    <s v="No"/>
    <s v="No"/>
    <s v="No"/>
    <s v="Yes"/>
    <s v="Yes"/>
    <s v="No"/>
    <s v="No"/>
    <s v="No"/>
    <s v="Yes"/>
    <s v="Yes"/>
    <s v="No"/>
    <s v="N/A"/>
  </r>
  <r>
    <x v="88"/>
    <s v="Kindergarten (New)"/>
    <s v="N/A"/>
    <s v="Grade 4"/>
    <s v="2026-04-07"/>
    <s v="Callback requested"/>
    <x v="11"/>
    <x v="2"/>
    <s v="Yes"/>
    <s v="Yes - within route"/>
    <s v="No"/>
    <s v="No"/>
    <s v="No"/>
    <s v="No"/>
    <s v="No"/>
    <s v="No"/>
    <s v="No"/>
    <s v="No"/>
    <s v="No"/>
    <s v="No"/>
    <s v="No"/>
    <s v="No"/>
    <s v="No"/>
    <s v="Yes"/>
    <s v="Yes"/>
    <s v="No"/>
    <s v="No"/>
    <s v="Yes"/>
    <s v="Yes"/>
    <s v="No"/>
    <s v="Yes"/>
    <s v="No"/>
    <s v="High"/>
  </r>
  <r>
    <x v="89"/>
    <s v="Kindergarten (New)"/>
    <s v="N/A"/>
    <s v="Grade 2"/>
    <s v="2026-04-19"/>
    <s v="Not interested"/>
    <x v="6"/>
    <x v="1"/>
    <s v="No"/>
    <s v="Not sure"/>
    <s v="Yes"/>
    <s v="No"/>
    <s v="No"/>
    <s v="Yes"/>
    <s v="Yes"/>
    <s v="No"/>
    <s v="No"/>
    <s v="Yes"/>
    <s v="No"/>
    <s v="No"/>
    <s v="No"/>
    <s v="No"/>
    <s v="No"/>
    <s v="Yes"/>
    <s v="No"/>
    <s v="No"/>
    <s v="No"/>
    <s v="Yes"/>
    <s v="No"/>
    <s v="No"/>
    <s v="No"/>
    <s v="Yes"/>
    <s v="N/A"/>
  </r>
  <r>
    <x v="90"/>
    <s v="Transfer (Already in other school)"/>
    <s v="Other Private"/>
    <s v="Grade 3"/>
    <s v="2026-04-30"/>
    <s v="Callback requested"/>
    <x v="13"/>
    <x v="1"/>
    <s v="No"/>
    <s v="Not sure"/>
    <s v="Yes"/>
    <s v="No"/>
    <s v="No"/>
    <s v="No"/>
    <s v="No"/>
    <s v="No"/>
    <s v="No"/>
    <s v="No"/>
    <s v="No"/>
    <s v="No"/>
    <s v="No"/>
    <s v="No"/>
    <s v="No"/>
    <s v="Yes"/>
    <s v="No"/>
    <s v="No"/>
    <s v="No"/>
    <s v="No"/>
    <s v="Yes"/>
    <s v="No"/>
    <s v="No"/>
    <s v="No"/>
    <s v="N/A"/>
  </r>
  <r>
    <x v="91"/>
    <s v="Kindergarten (New)"/>
    <s v="N/A"/>
    <s v="UKG"/>
    <s v="2026-04-29"/>
    <s v="Not interested"/>
    <x v="10"/>
    <x v="1"/>
    <s v="No"/>
    <s v="Yes - within route"/>
    <s v="No"/>
    <s v="Yes"/>
    <s v="No"/>
    <s v="No"/>
    <s v="No"/>
    <s v="Yes"/>
    <s v="No"/>
    <s v="No"/>
    <s v="No"/>
    <s v="No"/>
    <s v="No"/>
    <s v="No"/>
    <s v="Yes"/>
    <s v="No"/>
    <s v="No"/>
    <s v="Yes"/>
    <s v="No"/>
    <s v="Yes"/>
    <s v="Yes"/>
    <s v="No"/>
    <s v="No"/>
    <s v="Yes"/>
    <s v="N/A"/>
  </r>
  <r>
    <x v="92"/>
    <s v="Transfer (Already in other school)"/>
    <s v="Other Govt"/>
    <s v="LKG"/>
    <s v="2026-05-26"/>
    <s v="Not interested"/>
    <x v="3"/>
    <x v="1"/>
    <s v="Yes"/>
    <s v="Yes - within route"/>
    <s v="No"/>
    <s v="Yes"/>
    <s v="No"/>
    <s v="No"/>
    <s v="No"/>
    <s v="No"/>
    <s v="No"/>
    <s v="No"/>
    <s v="No"/>
    <s v="Yes"/>
    <s v="No"/>
    <s v="No"/>
    <s v="Yes"/>
    <s v="No"/>
    <s v="Yes"/>
    <s v="No"/>
    <s v="No"/>
    <s v="No"/>
    <s v="No"/>
    <s v="No"/>
    <s v="Yes"/>
    <s v="No"/>
    <s v="N/A"/>
  </r>
  <r>
    <x v="93"/>
    <s v="Kindergarten (New)"/>
    <s v="N/A"/>
    <s v="LKG"/>
    <s v="2026-05-08"/>
    <s v="Callback requested"/>
    <x v="13"/>
    <x v="2"/>
    <s v="Yes"/>
    <s v="Yes - within route"/>
    <s v="Yes"/>
    <s v="Yes"/>
    <s v="Yes"/>
    <s v="No"/>
    <s v="No"/>
    <s v="No"/>
    <s v="No"/>
    <s v="No"/>
    <s v="No"/>
    <s v="No"/>
    <s v="No"/>
    <s v="No"/>
    <s v="No"/>
    <s v="No"/>
    <s v="Yes"/>
    <s v="Yes"/>
    <s v="No"/>
    <s v="No"/>
    <s v="Yes"/>
    <s v="No"/>
    <s v="No"/>
    <s v="No"/>
    <s v="Low"/>
  </r>
  <r>
    <x v="94"/>
    <s v="Kindergarten (New)"/>
    <s v="N/A"/>
    <s v="Nursery"/>
    <s v="2026-04-24"/>
    <s v="Callback requested"/>
    <x v="3"/>
    <x v="1"/>
    <s v="No"/>
    <s v="No - not available"/>
    <s v="No"/>
    <s v="Yes"/>
    <s v="No"/>
    <s v="No"/>
    <s v="Yes"/>
    <s v="No"/>
    <s v="Yes"/>
    <s v="No"/>
    <s v="No"/>
    <s v="No"/>
    <s v="No"/>
    <s v="No"/>
    <s v="No"/>
    <s v="No"/>
    <s v="No"/>
    <s v="No"/>
    <s v="No"/>
    <s v="Yes"/>
    <s v="Yes"/>
    <s v="Yes"/>
    <s v="Yes"/>
    <s v="Yes"/>
    <s v="N/A"/>
  </r>
  <r>
    <x v="95"/>
    <s v="Transfer (Already in other school)"/>
    <s v="Other Govt"/>
    <s v="UKG"/>
    <s v="2026-05-05"/>
    <s v="Interested"/>
    <x v="5"/>
    <x v="1"/>
    <s v="No"/>
    <s v="No - not available"/>
    <s v="Yes"/>
    <s v="No"/>
    <s v="No"/>
    <s v="No"/>
    <s v="Yes"/>
    <s v="Yes"/>
    <s v="No"/>
    <s v="No"/>
    <s v="No"/>
    <s v="No"/>
    <s v="No"/>
    <s v="No"/>
    <s v="Yes"/>
    <s v="No"/>
    <s v="No"/>
    <s v="Yes"/>
    <s v="No"/>
    <s v="No"/>
    <s v="No"/>
    <s v="Yes"/>
    <s v="No"/>
    <s v="Yes"/>
    <s v="N/A"/>
  </r>
  <r>
    <x v="96"/>
    <s v="Kindergarten (New)"/>
    <s v="N/A"/>
    <s v="Grade 2"/>
    <s v="2026-05-17"/>
    <s v="Callback requested"/>
    <x v="14"/>
    <x v="2"/>
    <s v="Yes"/>
    <s v="Yes - within route"/>
    <s v="No"/>
    <s v="No"/>
    <s v="No"/>
    <s v="No"/>
    <s v="No"/>
    <s v="No"/>
    <s v="No"/>
    <s v="Yes"/>
    <s v="No"/>
    <s v="Yes"/>
    <s v="Yes"/>
    <s v="No"/>
    <s v="No"/>
    <s v="No"/>
    <s v="Yes"/>
    <s v="No"/>
    <s v="Yes"/>
    <s v="Yes"/>
    <s v="Yes"/>
    <s v="No"/>
    <s v="No"/>
    <s v="No"/>
    <s v="Low"/>
  </r>
  <r>
    <x v="97"/>
    <s v="Kindergarten (New)"/>
    <s v="N/A"/>
    <s v="Nursery"/>
    <s v="2026-05-06"/>
    <s v="Callback requested"/>
    <x v="0"/>
    <x v="2"/>
    <s v="Yes"/>
    <s v="No - not available"/>
    <s v="No"/>
    <s v="No"/>
    <s v="No"/>
    <s v="No"/>
    <s v="Yes"/>
    <s v="No"/>
    <s v="No"/>
    <s v="No"/>
    <s v="No"/>
    <s v="No"/>
    <s v="No"/>
    <s v="No"/>
    <s v="Yes"/>
    <s v="No"/>
    <s v="Yes"/>
    <s v="No"/>
    <s v="No"/>
    <s v="Yes"/>
    <s v="Yes"/>
    <s v="Yes"/>
    <s v="Yes"/>
    <s v="No"/>
    <s v="Medium"/>
  </r>
  <r>
    <x v="98"/>
    <s v="Kindergarten (New)"/>
    <s v="N/A"/>
    <s v="Grade 7"/>
    <s v="2026-04-16"/>
    <s v="Not interested"/>
    <x v="5"/>
    <x v="2"/>
    <s v="Yes"/>
    <s v="Not sure"/>
    <s v="No"/>
    <s v="No"/>
    <s v="No"/>
    <s v="No"/>
    <s v="Yes"/>
    <s v="No"/>
    <s v="Yes"/>
    <s v="No"/>
    <s v="No"/>
    <s v="No"/>
    <s v="Yes"/>
    <s v="No"/>
    <s v="No"/>
    <s v="No"/>
    <s v="No"/>
    <s v="No"/>
    <s v="No"/>
    <s v="No"/>
    <s v="No"/>
    <s v="No"/>
    <s v="No"/>
    <s v="Yes"/>
    <s v="Low"/>
  </r>
  <r>
    <x v="99"/>
    <s v="Kindergarten (New)"/>
    <s v="N/A"/>
    <s v="Nursery"/>
    <s v="2026-05-29"/>
    <s v="Interested"/>
    <x v="6"/>
    <x v="1"/>
    <s v="No"/>
    <s v="Yes - within route"/>
    <s v="No"/>
    <s v="Yes"/>
    <s v="Yes"/>
    <s v="Yes"/>
    <s v="No"/>
    <s v="Yes"/>
    <s v="No"/>
    <s v="No"/>
    <s v="No"/>
    <s v="No"/>
    <s v="No"/>
    <s v="No"/>
    <s v="No"/>
    <s v="No"/>
    <s v="No"/>
    <s v="No"/>
    <s v="No"/>
    <s v="Yes"/>
    <s v="Yes"/>
    <s v="No"/>
    <s v="No"/>
    <s v="No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FF977-D8DF-4718-87C6-E9483866BCD4}" name="PivotTable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chartFormat="1">
  <location ref="A3:B19" firstHeaderRow="1" firstDataRow="1" firstDataCol="1" rowPageCount="1" colPageCount="1"/>
  <pivotFields count="33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6">
        <item x="5"/>
        <item x="11"/>
        <item x="6"/>
        <item x="2"/>
        <item x="12"/>
        <item x="0"/>
        <item x="7"/>
        <item x="9"/>
        <item x="10"/>
        <item x="14"/>
        <item x="3"/>
        <item x="4"/>
        <item x="1"/>
        <item x="8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h="1"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6">
    <i>
      <x v="3"/>
    </i>
    <i>
      <x v="4"/>
    </i>
    <i>
      <x v="11"/>
    </i>
    <i>
      <x v="5"/>
    </i>
    <i>
      <x v="7"/>
    </i>
    <i>
      <x v="1"/>
    </i>
    <i>
      <x v="14"/>
    </i>
    <i>
      <x v="12"/>
    </i>
    <i>
      <x v="9"/>
    </i>
    <i>
      <x/>
    </i>
    <i>
      <x v="10"/>
    </i>
    <i>
      <x v="2"/>
    </i>
    <i>
      <x v="13"/>
    </i>
    <i>
      <x v="6"/>
    </i>
    <i>
      <x v="8"/>
    </i>
    <i t="grand">
      <x/>
    </i>
  </rowItems>
  <colItems count="1">
    <i/>
  </colItems>
  <pageFields count="1">
    <pageField fld="7" hier="-1"/>
  </pageFields>
  <dataFields count="1">
    <dataField name="Count of Lead_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7AEE-70BD-4345-BD3C-D25FA191402C}">
  <dimension ref="A1:B19"/>
  <sheetViews>
    <sheetView workbookViewId="0">
      <selection activeCell="B23" sqref="B23"/>
    </sheetView>
  </sheetViews>
  <sheetFormatPr defaultRowHeight="14.4" x14ac:dyDescent="0.3"/>
  <cols>
    <col min="1" max="1" width="36.109375" bestFit="1" customWidth="1"/>
    <col min="2" max="2" width="15.6640625" bestFit="1" customWidth="1"/>
  </cols>
  <sheetData>
    <row r="1" spans="1:2" x14ac:dyDescent="0.3">
      <c r="A1" s="52" t="s">
        <v>7</v>
      </c>
      <c r="B1" t="s">
        <v>49</v>
      </c>
    </row>
    <row r="3" spans="1:2" x14ac:dyDescent="0.3">
      <c r="A3" s="52" t="s">
        <v>264</v>
      </c>
      <c r="B3" t="s">
        <v>266</v>
      </c>
    </row>
    <row r="4" spans="1:2" x14ac:dyDescent="0.3">
      <c r="A4" s="53" t="s">
        <v>55</v>
      </c>
      <c r="B4" s="54">
        <v>1</v>
      </c>
    </row>
    <row r="5" spans="1:2" x14ac:dyDescent="0.3">
      <c r="A5" s="53" t="s">
        <v>146</v>
      </c>
      <c r="B5" s="54">
        <v>1</v>
      </c>
    </row>
    <row r="6" spans="1:2" x14ac:dyDescent="0.3">
      <c r="A6" s="53" t="s">
        <v>67</v>
      </c>
      <c r="B6" s="54">
        <v>1</v>
      </c>
    </row>
    <row r="7" spans="1:2" x14ac:dyDescent="0.3">
      <c r="A7" s="53" t="s">
        <v>39</v>
      </c>
      <c r="B7" s="54">
        <v>1</v>
      </c>
    </row>
    <row r="8" spans="1:2" x14ac:dyDescent="0.3">
      <c r="A8" s="53" t="s">
        <v>111</v>
      </c>
      <c r="B8" s="54">
        <v>3</v>
      </c>
    </row>
    <row r="9" spans="1:2" x14ac:dyDescent="0.3">
      <c r="A9" s="53" t="s">
        <v>119</v>
      </c>
      <c r="B9" s="54">
        <v>3</v>
      </c>
    </row>
    <row r="10" spans="1:2" x14ac:dyDescent="0.3">
      <c r="A10" s="53" t="s">
        <v>150</v>
      </c>
      <c r="B10" s="54">
        <v>3</v>
      </c>
    </row>
    <row r="11" spans="1:2" x14ac:dyDescent="0.3">
      <c r="A11" s="53" t="s">
        <v>48</v>
      </c>
      <c r="B11" s="54">
        <v>3</v>
      </c>
    </row>
    <row r="12" spans="1:2" x14ac:dyDescent="0.3">
      <c r="A12" s="53" t="s">
        <v>154</v>
      </c>
      <c r="B12" s="54">
        <v>4</v>
      </c>
    </row>
    <row r="13" spans="1:2" x14ac:dyDescent="0.3">
      <c r="A13" s="53" t="s">
        <v>73</v>
      </c>
      <c r="B13" s="54">
        <v>4</v>
      </c>
    </row>
    <row r="14" spans="1:2" x14ac:dyDescent="0.3">
      <c r="A14" s="53" t="s">
        <v>63</v>
      </c>
      <c r="B14" s="54">
        <v>4</v>
      </c>
    </row>
    <row r="15" spans="1:2" x14ac:dyDescent="0.3">
      <c r="A15" s="53" t="s">
        <v>79</v>
      </c>
      <c r="B15" s="54">
        <v>5</v>
      </c>
    </row>
    <row r="16" spans="1:2" x14ac:dyDescent="0.3">
      <c r="A16" s="53" t="s">
        <v>104</v>
      </c>
      <c r="B16" s="54">
        <v>5</v>
      </c>
    </row>
    <row r="17" spans="1:2" x14ac:dyDescent="0.3">
      <c r="A17" s="53" t="s">
        <v>88</v>
      </c>
      <c r="B17" s="54">
        <v>5</v>
      </c>
    </row>
    <row r="18" spans="1:2" x14ac:dyDescent="0.3">
      <c r="A18" s="53" t="s">
        <v>114</v>
      </c>
      <c r="B18" s="54">
        <v>5</v>
      </c>
    </row>
    <row r="19" spans="1:2" x14ac:dyDescent="0.3">
      <c r="A19" s="53" t="s">
        <v>265</v>
      </c>
      <c r="B19" s="54">
        <v>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"/>
  <sheetViews>
    <sheetView zoomScaleNormal="100" workbookViewId="0">
      <pane ySplit="1" topLeftCell="A2" activePane="bottomLeft" state="frozen"/>
      <selection pane="bottomLeft" activeCell="AF31" sqref="AF31"/>
    </sheetView>
  </sheetViews>
  <sheetFormatPr defaultColWidth="8.6640625" defaultRowHeight="14.4" x14ac:dyDescent="0.3"/>
  <cols>
    <col min="1" max="33" width="24" customWidth="1"/>
  </cols>
  <sheetData>
    <row r="1" spans="1:33" ht="23.2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</row>
    <row r="2" spans="1:33" ht="15" customHeight="1" x14ac:dyDescent="0.3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K2" s="12" t="s">
        <v>41</v>
      </c>
      <c r="L2" s="12" t="s">
        <v>43</v>
      </c>
      <c r="M2" s="12" t="s">
        <v>43</v>
      </c>
      <c r="N2" s="12" t="s">
        <v>41</v>
      </c>
      <c r="O2" s="12" t="s">
        <v>41</v>
      </c>
      <c r="P2" s="12" t="s">
        <v>41</v>
      </c>
      <c r="Q2" s="12" t="s">
        <v>41</v>
      </c>
      <c r="R2" s="12" t="s">
        <v>41</v>
      </c>
      <c r="S2" s="12" t="s">
        <v>41</v>
      </c>
      <c r="T2" s="12" t="s">
        <v>41</v>
      </c>
      <c r="U2" s="12" t="s">
        <v>41</v>
      </c>
      <c r="V2" s="12" t="s">
        <v>41</v>
      </c>
      <c r="W2" s="12" t="s">
        <v>41</v>
      </c>
      <c r="X2" s="12" t="s">
        <v>43</v>
      </c>
      <c r="Y2" s="12" t="s">
        <v>41</v>
      </c>
      <c r="Z2" s="12" t="s">
        <v>41</v>
      </c>
      <c r="AA2" s="12" t="s">
        <v>41</v>
      </c>
      <c r="AB2" s="12" t="s">
        <v>41</v>
      </c>
      <c r="AC2" s="12" t="s">
        <v>43</v>
      </c>
      <c r="AD2" s="12" t="s">
        <v>43</v>
      </c>
      <c r="AE2" s="12" t="s">
        <v>41</v>
      </c>
      <c r="AF2" s="12" t="s">
        <v>43</v>
      </c>
      <c r="AG2" s="12" t="s">
        <v>44</v>
      </c>
    </row>
    <row r="3" spans="1:33" ht="15" customHeight="1" x14ac:dyDescent="0.3">
      <c r="A3" s="13" t="s">
        <v>45</v>
      </c>
      <c r="B3" s="13" t="s">
        <v>46</v>
      </c>
      <c r="C3" s="13" t="s">
        <v>44</v>
      </c>
      <c r="D3" s="13" t="s">
        <v>36</v>
      </c>
      <c r="E3" s="13" t="s">
        <v>47</v>
      </c>
      <c r="F3" s="13" t="s">
        <v>38</v>
      </c>
      <c r="G3" s="13" t="s">
        <v>48</v>
      </c>
      <c r="H3" s="13" t="s">
        <v>49</v>
      </c>
      <c r="I3" s="13" t="s">
        <v>41</v>
      </c>
      <c r="J3" s="13" t="s">
        <v>50</v>
      </c>
      <c r="K3" s="13" t="s">
        <v>41</v>
      </c>
      <c r="L3" s="13" t="s">
        <v>41</v>
      </c>
      <c r="M3" s="13" t="s">
        <v>41</v>
      </c>
      <c r="N3" s="13" t="s">
        <v>41</v>
      </c>
      <c r="O3" s="13" t="s">
        <v>41</v>
      </c>
      <c r="P3" s="13" t="s">
        <v>41</v>
      </c>
      <c r="Q3" s="13" t="s">
        <v>43</v>
      </c>
      <c r="R3" s="13" t="s">
        <v>41</v>
      </c>
      <c r="S3" s="13" t="s">
        <v>41</v>
      </c>
      <c r="T3" s="13" t="s">
        <v>43</v>
      </c>
      <c r="U3" s="13" t="s">
        <v>41</v>
      </c>
      <c r="V3" s="13" t="s">
        <v>43</v>
      </c>
      <c r="W3" s="13" t="s">
        <v>41</v>
      </c>
      <c r="X3" s="13" t="s">
        <v>41</v>
      </c>
      <c r="Y3" s="13" t="s">
        <v>41</v>
      </c>
      <c r="Z3" s="13" t="s">
        <v>41</v>
      </c>
      <c r="AA3" s="13" t="s">
        <v>41</v>
      </c>
      <c r="AB3" s="13" t="s">
        <v>43</v>
      </c>
      <c r="AC3" s="13" t="s">
        <v>41</v>
      </c>
      <c r="AD3" s="13" t="s">
        <v>41</v>
      </c>
      <c r="AE3" s="13" t="s">
        <v>41</v>
      </c>
      <c r="AF3" s="13" t="s">
        <v>41</v>
      </c>
      <c r="AG3" s="13" t="s">
        <v>44</v>
      </c>
    </row>
    <row r="4" spans="1:33" ht="15" customHeight="1" x14ac:dyDescent="0.3">
      <c r="A4" s="12" t="s">
        <v>51</v>
      </c>
      <c r="B4" s="12" t="s">
        <v>46</v>
      </c>
      <c r="C4" s="12" t="s">
        <v>44</v>
      </c>
      <c r="D4" s="12" t="s">
        <v>52</v>
      </c>
      <c r="E4" s="12" t="s">
        <v>53</v>
      </c>
      <c r="F4" s="12" t="s">
        <v>54</v>
      </c>
      <c r="G4" s="12" t="s">
        <v>55</v>
      </c>
      <c r="H4" s="12" t="s">
        <v>56</v>
      </c>
      <c r="I4" s="12" t="s">
        <v>43</v>
      </c>
      <c r="J4" s="12" t="s">
        <v>42</v>
      </c>
      <c r="K4" s="12" t="s">
        <v>41</v>
      </c>
      <c r="L4" s="12" t="s">
        <v>41</v>
      </c>
      <c r="M4" s="12" t="s">
        <v>41</v>
      </c>
      <c r="N4" s="12" t="s">
        <v>41</v>
      </c>
      <c r="O4" s="12" t="s">
        <v>43</v>
      </c>
      <c r="P4" s="12" t="s">
        <v>43</v>
      </c>
      <c r="Q4" s="12" t="s">
        <v>41</v>
      </c>
      <c r="R4" s="12" t="s">
        <v>41</v>
      </c>
      <c r="S4" s="12" t="s">
        <v>41</v>
      </c>
      <c r="T4" s="12" t="s">
        <v>41</v>
      </c>
      <c r="U4" s="12" t="s">
        <v>41</v>
      </c>
      <c r="V4" s="12" t="s">
        <v>41</v>
      </c>
      <c r="W4" s="12" t="s">
        <v>41</v>
      </c>
      <c r="X4" s="12" t="s">
        <v>41</v>
      </c>
      <c r="Y4" s="12" t="s">
        <v>41</v>
      </c>
      <c r="Z4" s="12" t="s">
        <v>41</v>
      </c>
      <c r="AA4" s="12" t="s">
        <v>41</v>
      </c>
      <c r="AB4" s="12" t="s">
        <v>43</v>
      </c>
      <c r="AC4" s="12" t="s">
        <v>41</v>
      </c>
      <c r="AD4" s="12" t="s">
        <v>43</v>
      </c>
      <c r="AE4" s="12" t="s">
        <v>43</v>
      </c>
      <c r="AF4" s="12" t="s">
        <v>41</v>
      </c>
      <c r="AG4" s="12" t="s">
        <v>57</v>
      </c>
    </row>
    <row r="5" spans="1:33" ht="15" customHeight="1" x14ac:dyDescent="0.3">
      <c r="A5" s="13" t="s">
        <v>58</v>
      </c>
      <c r="B5" s="13" t="s">
        <v>34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63</v>
      </c>
      <c r="H5" s="13" t="s">
        <v>49</v>
      </c>
      <c r="I5" s="13" t="s">
        <v>43</v>
      </c>
      <c r="J5" s="13" t="s">
        <v>50</v>
      </c>
      <c r="K5" s="13" t="s">
        <v>43</v>
      </c>
      <c r="L5" s="13" t="s">
        <v>41</v>
      </c>
      <c r="M5" s="13" t="s">
        <v>41</v>
      </c>
      <c r="N5" s="13" t="s">
        <v>41</v>
      </c>
      <c r="O5" s="13" t="s">
        <v>43</v>
      </c>
      <c r="P5" s="13" t="s">
        <v>41</v>
      </c>
      <c r="Q5" s="13" t="s">
        <v>41</v>
      </c>
      <c r="R5" s="13" t="s">
        <v>41</v>
      </c>
      <c r="S5" s="13" t="s">
        <v>41</v>
      </c>
      <c r="T5" s="13" t="s">
        <v>41</v>
      </c>
      <c r="U5" s="13" t="s">
        <v>43</v>
      </c>
      <c r="V5" s="13" t="s">
        <v>41</v>
      </c>
      <c r="W5" s="13" t="s">
        <v>41</v>
      </c>
      <c r="X5" s="13" t="s">
        <v>41</v>
      </c>
      <c r="Y5" s="13" t="s">
        <v>43</v>
      </c>
      <c r="Z5" s="13" t="s">
        <v>41</v>
      </c>
      <c r="AA5" s="13" t="s">
        <v>41</v>
      </c>
      <c r="AB5" s="13" t="s">
        <v>41</v>
      </c>
      <c r="AC5" s="13" t="s">
        <v>41</v>
      </c>
      <c r="AD5" s="13" t="s">
        <v>41</v>
      </c>
      <c r="AE5" s="13" t="s">
        <v>41</v>
      </c>
      <c r="AF5" s="13" t="s">
        <v>41</v>
      </c>
      <c r="AG5" s="13" t="s">
        <v>44</v>
      </c>
    </row>
    <row r="6" spans="1:33" ht="15" customHeight="1" x14ac:dyDescent="0.3">
      <c r="A6" s="12" t="s">
        <v>64</v>
      </c>
      <c r="B6" s="12" t="s">
        <v>46</v>
      </c>
      <c r="C6" s="12" t="s">
        <v>44</v>
      </c>
      <c r="D6" s="12" t="s">
        <v>65</v>
      </c>
      <c r="E6" s="12" t="s">
        <v>66</v>
      </c>
      <c r="F6" s="12" t="s">
        <v>38</v>
      </c>
      <c r="G6" s="12" t="s">
        <v>67</v>
      </c>
      <c r="H6" s="12" t="s">
        <v>40</v>
      </c>
      <c r="I6" s="12" t="s">
        <v>41</v>
      </c>
      <c r="J6" s="12" t="s">
        <v>68</v>
      </c>
      <c r="K6" s="12" t="s">
        <v>41</v>
      </c>
      <c r="L6" s="12" t="s">
        <v>43</v>
      </c>
      <c r="M6" s="12" t="s">
        <v>41</v>
      </c>
      <c r="N6" s="12" t="s">
        <v>43</v>
      </c>
      <c r="O6" s="12" t="s">
        <v>41</v>
      </c>
      <c r="P6" s="12" t="s">
        <v>41</v>
      </c>
      <c r="Q6" s="12" t="s">
        <v>41</v>
      </c>
      <c r="R6" s="12" t="s">
        <v>41</v>
      </c>
      <c r="S6" s="12" t="s">
        <v>41</v>
      </c>
      <c r="T6" s="12" t="s">
        <v>43</v>
      </c>
      <c r="U6" s="12" t="s">
        <v>41</v>
      </c>
      <c r="V6" s="12" t="s">
        <v>41</v>
      </c>
      <c r="W6" s="12" t="s">
        <v>41</v>
      </c>
      <c r="X6" s="12" t="s">
        <v>41</v>
      </c>
      <c r="Y6" s="12" t="s">
        <v>43</v>
      </c>
      <c r="Z6" s="12" t="s">
        <v>41</v>
      </c>
      <c r="AA6" s="12" t="s">
        <v>43</v>
      </c>
      <c r="AB6" s="12" t="s">
        <v>41</v>
      </c>
      <c r="AC6" s="12" t="s">
        <v>41</v>
      </c>
      <c r="AD6" s="12" t="s">
        <v>41</v>
      </c>
      <c r="AE6" s="12" t="s">
        <v>41</v>
      </c>
      <c r="AF6" s="12" t="s">
        <v>43</v>
      </c>
      <c r="AG6" s="12" t="s">
        <v>44</v>
      </c>
    </row>
    <row r="7" spans="1:33" ht="15" customHeight="1" x14ac:dyDescent="0.3">
      <c r="A7" s="13" t="s">
        <v>69</v>
      </c>
      <c r="B7" s="13" t="s">
        <v>34</v>
      </c>
      <c r="C7" s="13" t="s">
        <v>70</v>
      </c>
      <c r="D7" s="13" t="s">
        <v>71</v>
      </c>
      <c r="E7" s="13" t="s">
        <v>72</v>
      </c>
      <c r="F7" s="13" t="s">
        <v>54</v>
      </c>
      <c r="G7" s="13" t="s">
        <v>73</v>
      </c>
      <c r="H7" s="13" t="s">
        <v>49</v>
      </c>
      <c r="I7" s="13" t="s">
        <v>43</v>
      </c>
      <c r="J7" s="13" t="s">
        <v>42</v>
      </c>
      <c r="K7" s="13" t="s">
        <v>41</v>
      </c>
      <c r="L7" s="13" t="s">
        <v>43</v>
      </c>
      <c r="M7" s="13" t="s">
        <v>41</v>
      </c>
      <c r="N7" s="13" t="s">
        <v>41</v>
      </c>
      <c r="O7" s="13" t="s">
        <v>41</v>
      </c>
      <c r="P7" s="13" t="s">
        <v>41</v>
      </c>
      <c r="Q7" s="13" t="s">
        <v>41</v>
      </c>
      <c r="R7" s="13" t="s">
        <v>43</v>
      </c>
      <c r="S7" s="13" t="s">
        <v>41</v>
      </c>
      <c r="T7" s="13" t="s">
        <v>41</v>
      </c>
      <c r="U7" s="13" t="s">
        <v>41</v>
      </c>
      <c r="V7" s="13" t="s">
        <v>41</v>
      </c>
      <c r="W7" s="13" t="s">
        <v>43</v>
      </c>
      <c r="X7" s="13" t="s">
        <v>43</v>
      </c>
      <c r="Y7" s="13" t="s">
        <v>41</v>
      </c>
      <c r="Z7" s="13" t="s">
        <v>41</v>
      </c>
      <c r="AA7" s="13" t="s">
        <v>41</v>
      </c>
      <c r="AB7" s="13" t="s">
        <v>41</v>
      </c>
      <c r="AC7" s="13" t="s">
        <v>43</v>
      </c>
      <c r="AD7" s="13" t="s">
        <v>43</v>
      </c>
      <c r="AE7" s="13" t="s">
        <v>43</v>
      </c>
      <c r="AF7" s="13" t="s">
        <v>41</v>
      </c>
      <c r="AG7" s="13" t="s">
        <v>44</v>
      </c>
    </row>
    <row r="8" spans="1:33" ht="15" customHeight="1" x14ac:dyDescent="0.3">
      <c r="A8" s="12" t="s">
        <v>74</v>
      </c>
      <c r="B8" s="12" t="s">
        <v>46</v>
      </c>
      <c r="C8" s="12" t="s">
        <v>44</v>
      </c>
      <c r="D8" s="12" t="s">
        <v>71</v>
      </c>
      <c r="E8" s="12" t="s">
        <v>75</v>
      </c>
      <c r="F8" s="12" t="s">
        <v>62</v>
      </c>
      <c r="G8" s="12" t="s">
        <v>73</v>
      </c>
      <c r="H8" s="12" t="s">
        <v>49</v>
      </c>
      <c r="I8" s="12" t="s">
        <v>43</v>
      </c>
      <c r="J8" s="12" t="s">
        <v>42</v>
      </c>
      <c r="K8" s="12" t="s">
        <v>41</v>
      </c>
      <c r="L8" s="12" t="s">
        <v>43</v>
      </c>
      <c r="M8" s="12" t="s">
        <v>41</v>
      </c>
      <c r="N8" s="12" t="s">
        <v>41</v>
      </c>
      <c r="O8" s="12" t="s">
        <v>41</v>
      </c>
      <c r="P8" s="12" t="s">
        <v>41</v>
      </c>
      <c r="Q8" s="12" t="s">
        <v>43</v>
      </c>
      <c r="R8" s="12" t="s">
        <v>41</v>
      </c>
      <c r="S8" s="12" t="s">
        <v>41</v>
      </c>
      <c r="T8" s="12" t="s">
        <v>43</v>
      </c>
      <c r="U8" s="12" t="s">
        <v>41</v>
      </c>
      <c r="V8" s="12" t="s">
        <v>41</v>
      </c>
      <c r="W8" s="12" t="s">
        <v>43</v>
      </c>
      <c r="X8" s="12" t="s">
        <v>43</v>
      </c>
      <c r="Y8" s="12" t="s">
        <v>41</v>
      </c>
      <c r="Z8" s="12" t="s">
        <v>43</v>
      </c>
      <c r="AA8" s="12" t="s">
        <v>41</v>
      </c>
      <c r="AB8" s="12" t="s">
        <v>43</v>
      </c>
      <c r="AC8" s="12" t="s">
        <v>41</v>
      </c>
      <c r="AD8" s="12" t="s">
        <v>43</v>
      </c>
      <c r="AE8" s="12" t="s">
        <v>43</v>
      </c>
      <c r="AF8" s="12" t="s">
        <v>41</v>
      </c>
      <c r="AG8" s="12" t="s">
        <v>44</v>
      </c>
    </row>
    <row r="9" spans="1:33" ht="15" customHeight="1" x14ac:dyDescent="0.3">
      <c r="A9" s="13" t="s">
        <v>76</v>
      </c>
      <c r="B9" s="13" t="s">
        <v>34</v>
      </c>
      <c r="C9" s="13" t="s">
        <v>35</v>
      </c>
      <c r="D9" s="13" t="s">
        <v>77</v>
      </c>
      <c r="E9" s="13" t="s">
        <v>78</v>
      </c>
      <c r="F9" s="13" t="s">
        <v>62</v>
      </c>
      <c r="G9" s="13" t="s">
        <v>79</v>
      </c>
      <c r="H9" s="13" t="s">
        <v>40</v>
      </c>
      <c r="I9" s="13" t="s">
        <v>43</v>
      </c>
      <c r="J9" s="13" t="s">
        <v>42</v>
      </c>
      <c r="K9" s="13" t="s">
        <v>43</v>
      </c>
      <c r="L9" s="13" t="s">
        <v>41</v>
      </c>
      <c r="M9" s="13" t="s">
        <v>41</v>
      </c>
      <c r="N9" s="13" t="s">
        <v>41</v>
      </c>
      <c r="O9" s="13" t="s">
        <v>41</v>
      </c>
      <c r="P9" s="13" t="s">
        <v>43</v>
      </c>
      <c r="Q9" s="13" t="s">
        <v>43</v>
      </c>
      <c r="R9" s="13" t="s">
        <v>41</v>
      </c>
      <c r="S9" s="13" t="s">
        <v>41</v>
      </c>
      <c r="T9" s="13" t="s">
        <v>41</v>
      </c>
      <c r="U9" s="13" t="s">
        <v>41</v>
      </c>
      <c r="V9" s="13" t="s">
        <v>41</v>
      </c>
      <c r="W9" s="13" t="s">
        <v>41</v>
      </c>
      <c r="X9" s="13" t="s">
        <v>41</v>
      </c>
      <c r="Y9" s="13" t="s">
        <v>41</v>
      </c>
      <c r="Z9" s="13" t="s">
        <v>41</v>
      </c>
      <c r="AA9" s="13" t="s">
        <v>41</v>
      </c>
      <c r="AB9" s="13" t="s">
        <v>43</v>
      </c>
      <c r="AC9" s="13" t="s">
        <v>43</v>
      </c>
      <c r="AD9" s="13" t="s">
        <v>43</v>
      </c>
      <c r="AE9" s="13" t="s">
        <v>41</v>
      </c>
      <c r="AF9" s="13" t="s">
        <v>43</v>
      </c>
      <c r="AG9" s="13" t="s">
        <v>44</v>
      </c>
    </row>
    <row r="10" spans="1:33" ht="15" customHeight="1" x14ac:dyDescent="0.3">
      <c r="A10" s="12" t="s">
        <v>80</v>
      </c>
      <c r="B10" s="12" t="s">
        <v>46</v>
      </c>
      <c r="C10" s="12" t="s">
        <v>44</v>
      </c>
      <c r="D10" s="12" t="s">
        <v>77</v>
      </c>
      <c r="E10" s="12" t="s">
        <v>81</v>
      </c>
      <c r="F10" s="12" t="s">
        <v>54</v>
      </c>
      <c r="G10" s="12" t="s">
        <v>67</v>
      </c>
      <c r="H10" s="12" t="s">
        <v>56</v>
      </c>
      <c r="I10" s="12" t="s">
        <v>43</v>
      </c>
      <c r="J10" s="12" t="s">
        <v>50</v>
      </c>
      <c r="K10" s="12" t="s">
        <v>41</v>
      </c>
      <c r="L10" s="12" t="s">
        <v>43</v>
      </c>
      <c r="M10" s="12" t="s">
        <v>43</v>
      </c>
      <c r="N10" s="12" t="s">
        <v>41</v>
      </c>
      <c r="O10" s="12" t="s">
        <v>41</v>
      </c>
      <c r="P10" s="12" t="s">
        <v>43</v>
      </c>
      <c r="Q10" s="12" t="s">
        <v>43</v>
      </c>
      <c r="R10" s="12" t="s">
        <v>41</v>
      </c>
      <c r="S10" s="12" t="s">
        <v>41</v>
      </c>
      <c r="T10" s="12" t="s">
        <v>41</v>
      </c>
      <c r="U10" s="12" t="s">
        <v>41</v>
      </c>
      <c r="V10" s="12" t="s">
        <v>41</v>
      </c>
      <c r="W10" s="12" t="s">
        <v>41</v>
      </c>
      <c r="X10" s="12" t="s">
        <v>41</v>
      </c>
      <c r="Y10" s="12" t="s">
        <v>41</v>
      </c>
      <c r="Z10" s="12" t="s">
        <v>41</v>
      </c>
      <c r="AA10" s="12" t="s">
        <v>41</v>
      </c>
      <c r="AB10" s="12" t="s">
        <v>43</v>
      </c>
      <c r="AC10" s="12" t="s">
        <v>43</v>
      </c>
      <c r="AD10" s="12" t="s">
        <v>41</v>
      </c>
      <c r="AE10" s="12" t="s">
        <v>41</v>
      </c>
      <c r="AF10" s="12" t="s">
        <v>43</v>
      </c>
      <c r="AG10" s="12" t="s">
        <v>57</v>
      </c>
    </row>
    <row r="11" spans="1:33" ht="15" customHeight="1" x14ac:dyDescent="0.3">
      <c r="A11" s="13" t="s">
        <v>82</v>
      </c>
      <c r="B11" s="13" t="s">
        <v>46</v>
      </c>
      <c r="C11" s="13" t="s">
        <v>44</v>
      </c>
      <c r="D11" s="13" t="s">
        <v>83</v>
      </c>
      <c r="E11" s="13" t="s">
        <v>84</v>
      </c>
      <c r="F11" s="13" t="s">
        <v>54</v>
      </c>
      <c r="G11" s="13" t="s">
        <v>73</v>
      </c>
      <c r="H11" s="13" t="s">
        <v>56</v>
      </c>
      <c r="I11" s="13" t="s">
        <v>43</v>
      </c>
      <c r="J11" s="13" t="s">
        <v>50</v>
      </c>
      <c r="K11" s="13" t="s">
        <v>43</v>
      </c>
      <c r="L11" s="13" t="s">
        <v>43</v>
      </c>
      <c r="M11" s="13" t="s">
        <v>41</v>
      </c>
      <c r="N11" s="13" t="s">
        <v>41</v>
      </c>
      <c r="O11" s="13" t="s">
        <v>41</v>
      </c>
      <c r="P11" s="13" t="s">
        <v>41</v>
      </c>
      <c r="Q11" s="13" t="s">
        <v>41</v>
      </c>
      <c r="R11" s="13" t="s">
        <v>41</v>
      </c>
      <c r="S11" s="13" t="s">
        <v>41</v>
      </c>
      <c r="T11" s="13" t="s">
        <v>41</v>
      </c>
      <c r="U11" s="13" t="s">
        <v>41</v>
      </c>
      <c r="V11" s="13" t="s">
        <v>41</v>
      </c>
      <c r="W11" s="13" t="s">
        <v>43</v>
      </c>
      <c r="X11" s="13" t="s">
        <v>41</v>
      </c>
      <c r="Y11" s="13" t="s">
        <v>43</v>
      </c>
      <c r="Z11" s="13" t="s">
        <v>41</v>
      </c>
      <c r="AA11" s="13" t="s">
        <v>41</v>
      </c>
      <c r="AB11" s="13" t="s">
        <v>43</v>
      </c>
      <c r="AC11" s="13" t="s">
        <v>43</v>
      </c>
      <c r="AD11" s="13" t="s">
        <v>41</v>
      </c>
      <c r="AE11" s="13" t="s">
        <v>43</v>
      </c>
      <c r="AF11" s="13" t="s">
        <v>41</v>
      </c>
      <c r="AG11" s="13" t="s">
        <v>57</v>
      </c>
    </row>
    <row r="12" spans="1:33" ht="15" customHeight="1" x14ac:dyDescent="0.3">
      <c r="A12" s="12" t="s">
        <v>85</v>
      </c>
      <c r="B12" s="12" t="s">
        <v>46</v>
      </c>
      <c r="C12" s="12" t="s">
        <v>44</v>
      </c>
      <c r="D12" s="12" t="s">
        <v>86</v>
      </c>
      <c r="E12" s="12" t="s">
        <v>87</v>
      </c>
      <c r="F12" s="12" t="s">
        <v>62</v>
      </c>
      <c r="G12" s="12" t="s">
        <v>88</v>
      </c>
      <c r="H12" s="12" t="s">
        <v>49</v>
      </c>
      <c r="I12" s="12" t="s">
        <v>41</v>
      </c>
      <c r="J12" s="12" t="s">
        <v>42</v>
      </c>
      <c r="K12" s="12" t="s">
        <v>43</v>
      </c>
      <c r="L12" s="12" t="s">
        <v>41</v>
      </c>
      <c r="M12" s="12" t="s">
        <v>43</v>
      </c>
      <c r="N12" s="12" t="s">
        <v>41</v>
      </c>
      <c r="O12" s="12" t="s">
        <v>41</v>
      </c>
      <c r="P12" s="12" t="s">
        <v>43</v>
      </c>
      <c r="Q12" s="12" t="s">
        <v>41</v>
      </c>
      <c r="R12" s="12" t="s">
        <v>43</v>
      </c>
      <c r="S12" s="12" t="s">
        <v>41</v>
      </c>
      <c r="T12" s="12" t="s">
        <v>43</v>
      </c>
      <c r="U12" s="12" t="s">
        <v>41</v>
      </c>
      <c r="V12" s="12" t="s">
        <v>41</v>
      </c>
      <c r="W12" s="12" t="s">
        <v>41</v>
      </c>
      <c r="X12" s="12" t="s">
        <v>43</v>
      </c>
      <c r="Y12" s="12" t="s">
        <v>41</v>
      </c>
      <c r="Z12" s="12" t="s">
        <v>41</v>
      </c>
      <c r="AA12" s="12" t="s">
        <v>41</v>
      </c>
      <c r="AB12" s="12" t="s">
        <v>43</v>
      </c>
      <c r="AC12" s="12" t="s">
        <v>43</v>
      </c>
      <c r="AD12" s="12" t="s">
        <v>43</v>
      </c>
      <c r="AE12" s="12" t="s">
        <v>41</v>
      </c>
      <c r="AF12" s="12" t="s">
        <v>43</v>
      </c>
      <c r="AG12" s="12" t="s">
        <v>44</v>
      </c>
    </row>
    <row r="13" spans="1:33" ht="15" customHeight="1" x14ac:dyDescent="0.3">
      <c r="A13" s="13" t="s">
        <v>89</v>
      </c>
      <c r="B13" s="13" t="s">
        <v>46</v>
      </c>
      <c r="C13" s="13" t="s">
        <v>44</v>
      </c>
      <c r="D13" s="13" t="s">
        <v>60</v>
      </c>
      <c r="E13" s="13" t="s">
        <v>90</v>
      </c>
      <c r="F13" s="13" t="s">
        <v>62</v>
      </c>
      <c r="G13" s="13" t="s">
        <v>79</v>
      </c>
      <c r="H13" s="13" t="s">
        <v>40</v>
      </c>
      <c r="I13" s="13" t="s">
        <v>41</v>
      </c>
      <c r="J13" s="13" t="s">
        <v>42</v>
      </c>
      <c r="K13" s="13" t="s">
        <v>41</v>
      </c>
      <c r="L13" s="13" t="s">
        <v>41</v>
      </c>
      <c r="M13" s="13" t="s">
        <v>41</v>
      </c>
      <c r="N13" s="13" t="s">
        <v>41</v>
      </c>
      <c r="O13" s="13" t="s">
        <v>41</v>
      </c>
      <c r="P13" s="13" t="s">
        <v>41</v>
      </c>
      <c r="Q13" s="13" t="s">
        <v>41</v>
      </c>
      <c r="R13" s="13" t="s">
        <v>41</v>
      </c>
      <c r="S13" s="13" t="s">
        <v>41</v>
      </c>
      <c r="T13" s="13" t="s">
        <v>41</v>
      </c>
      <c r="U13" s="13" t="s">
        <v>41</v>
      </c>
      <c r="V13" s="13" t="s">
        <v>41</v>
      </c>
      <c r="W13" s="13" t="s">
        <v>43</v>
      </c>
      <c r="X13" s="13" t="s">
        <v>41</v>
      </c>
      <c r="Y13" s="13" t="s">
        <v>41</v>
      </c>
      <c r="Z13" s="13" t="s">
        <v>41</v>
      </c>
      <c r="AA13" s="13" t="s">
        <v>41</v>
      </c>
      <c r="AB13" s="13" t="s">
        <v>43</v>
      </c>
      <c r="AC13" s="13" t="s">
        <v>43</v>
      </c>
      <c r="AD13" s="13" t="s">
        <v>43</v>
      </c>
      <c r="AE13" s="13" t="s">
        <v>41</v>
      </c>
      <c r="AF13" s="13" t="s">
        <v>43</v>
      </c>
      <c r="AG13" s="13" t="s">
        <v>44</v>
      </c>
    </row>
    <row r="14" spans="1:33" ht="15" customHeight="1" x14ac:dyDescent="0.3">
      <c r="A14" s="12" t="s">
        <v>91</v>
      </c>
      <c r="B14" s="12" t="s">
        <v>46</v>
      </c>
      <c r="C14" s="12" t="s">
        <v>44</v>
      </c>
      <c r="D14" s="12" t="s">
        <v>92</v>
      </c>
      <c r="E14" s="12" t="s">
        <v>61</v>
      </c>
      <c r="F14" s="12" t="s">
        <v>38</v>
      </c>
      <c r="G14" s="12" t="s">
        <v>67</v>
      </c>
      <c r="H14" s="12" t="s">
        <v>49</v>
      </c>
      <c r="I14" s="12" t="s">
        <v>41</v>
      </c>
      <c r="J14" s="12" t="s">
        <v>42</v>
      </c>
      <c r="K14" s="12" t="s">
        <v>43</v>
      </c>
      <c r="L14" s="12" t="s">
        <v>43</v>
      </c>
      <c r="M14" s="12" t="s">
        <v>43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  <c r="W14" s="12" t="s">
        <v>43</v>
      </c>
      <c r="X14" s="12" t="s">
        <v>41</v>
      </c>
      <c r="Y14" s="12" t="s">
        <v>43</v>
      </c>
      <c r="Z14" s="12" t="s">
        <v>41</v>
      </c>
      <c r="AA14" s="12" t="s">
        <v>41</v>
      </c>
      <c r="AB14" s="12" t="s">
        <v>43</v>
      </c>
      <c r="AC14" s="12" t="s">
        <v>41</v>
      </c>
      <c r="AD14" s="12" t="s">
        <v>43</v>
      </c>
      <c r="AE14" s="12" t="s">
        <v>41</v>
      </c>
      <c r="AF14" s="12" t="s">
        <v>43</v>
      </c>
      <c r="AG14" s="12" t="s">
        <v>44</v>
      </c>
    </row>
    <row r="15" spans="1:33" ht="15" customHeight="1" x14ac:dyDescent="0.3">
      <c r="A15" s="13" t="s">
        <v>93</v>
      </c>
      <c r="B15" s="13" t="s">
        <v>34</v>
      </c>
      <c r="C15" s="13" t="s">
        <v>70</v>
      </c>
      <c r="D15" s="13" t="s">
        <v>83</v>
      </c>
      <c r="E15" s="13" t="s">
        <v>94</v>
      </c>
      <c r="F15" s="13" t="s">
        <v>62</v>
      </c>
      <c r="G15" s="13" t="s">
        <v>88</v>
      </c>
      <c r="H15" s="13" t="s">
        <v>49</v>
      </c>
      <c r="I15" s="13" t="s">
        <v>41</v>
      </c>
      <c r="J15" s="13" t="s">
        <v>50</v>
      </c>
      <c r="K15" s="13" t="s">
        <v>41</v>
      </c>
      <c r="L15" s="13" t="s">
        <v>41</v>
      </c>
      <c r="M15" s="13" t="s">
        <v>41</v>
      </c>
      <c r="N15" s="13" t="s">
        <v>41</v>
      </c>
      <c r="O15" s="13" t="s">
        <v>41</v>
      </c>
      <c r="P15" s="13" t="s">
        <v>41</v>
      </c>
      <c r="Q15" s="13" t="s">
        <v>43</v>
      </c>
      <c r="R15" s="13" t="s">
        <v>41</v>
      </c>
      <c r="S15" s="13" t="s">
        <v>41</v>
      </c>
      <c r="T15" s="13" t="s">
        <v>41</v>
      </c>
      <c r="U15" s="13" t="s">
        <v>41</v>
      </c>
      <c r="V15" s="13" t="s">
        <v>41</v>
      </c>
      <c r="W15" s="13" t="s">
        <v>41</v>
      </c>
      <c r="X15" s="13" t="s">
        <v>41</v>
      </c>
      <c r="Y15" s="13" t="s">
        <v>41</v>
      </c>
      <c r="Z15" s="13" t="s">
        <v>41</v>
      </c>
      <c r="AA15" s="13" t="s">
        <v>41</v>
      </c>
      <c r="AB15" s="13" t="s">
        <v>43</v>
      </c>
      <c r="AC15" s="13" t="s">
        <v>41</v>
      </c>
      <c r="AD15" s="13" t="s">
        <v>41</v>
      </c>
      <c r="AE15" s="13" t="s">
        <v>41</v>
      </c>
      <c r="AF15" s="13" t="s">
        <v>41</v>
      </c>
      <c r="AG15" s="13" t="s">
        <v>44</v>
      </c>
    </row>
    <row r="16" spans="1:33" ht="15" customHeight="1" x14ac:dyDescent="0.3">
      <c r="A16" s="12" t="s">
        <v>95</v>
      </c>
      <c r="B16" s="12" t="s">
        <v>34</v>
      </c>
      <c r="C16" s="12" t="s">
        <v>70</v>
      </c>
      <c r="D16" s="12" t="s">
        <v>86</v>
      </c>
      <c r="E16" s="12" t="s">
        <v>96</v>
      </c>
      <c r="F16" s="12" t="s">
        <v>54</v>
      </c>
      <c r="G16" s="12" t="s">
        <v>79</v>
      </c>
      <c r="H16" s="12" t="s">
        <v>40</v>
      </c>
      <c r="I16" s="12" t="s">
        <v>43</v>
      </c>
      <c r="J16" s="12" t="s">
        <v>42</v>
      </c>
      <c r="K16" s="12" t="s">
        <v>41</v>
      </c>
      <c r="L16" s="12" t="s">
        <v>41</v>
      </c>
      <c r="M16" s="12" t="s">
        <v>41</v>
      </c>
      <c r="N16" s="12" t="s">
        <v>41</v>
      </c>
      <c r="O16" s="12" t="s">
        <v>43</v>
      </c>
      <c r="P16" s="12" t="s">
        <v>41</v>
      </c>
      <c r="Q16" s="12" t="s">
        <v>41</v>
      </c>
      <c r="R16" s="12" t="s">
        <v>41</v>
      </c>
      <c r="S16" s="12" t="s">
        <v>41</v>
      </c>
      <c r="T16" s="12" t="s">
        <v>43</v>
      </c>
      <c r="U16" s="12" t="s">
        <v>41</v>
      </c>
      <c r="V16" s="12" t="s">
        <v>41</v>
      </c>
      <c r="W16" s="12" t="s">
        <v>41</v>
      </c>
      <c r="X16" s="12" t="s">
        <v>41</v>
      </c>
      <c r="Y16" s="12" t="s">
        <v>41</v>
      </c>
      <c r="Z16" s="12" t="s">
        <v>41</v>
      </c>
      <c r="AA16" s="12" t="s">
        <v>41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43</v>
      </c>
      <c r="AG16" s="12" t="s">
        <v>44</v>
      </c>
    </row>
    <row r="17" spans="1:33" ht="15" customHeight="1" x14ac:dyDescent="0.3">
      <c r="A17" s="13" t="s">
        <v>97</v>
      </c>
      <c r="B17" s="13" t="s">
        <v>34</v>
      </c>
      <c r="C17" s="13" t="s">
        <v>35</v>
      </c>
      <c r="D17" s="13" t="s">
        <v>92</v>
      </c>
      <c r="E17" s="13" t="s">
        <v>98</v>
      </c>
      <c r="F17" s="13" t="s">
        <v>62</v>
      </c>
      <c r="G17" s="13" t="s">
        <v>73</v>
      </c>
      <c r="H17" s="13" t="s">
        <v>40</v>
      </c>
      <c r="I17" s="13" t="s">
        <v>41</v>
      </c>
      <c r="J17" s="13" t="s">
        <v>42</v>
      </c>
      <c r="K17" s="13" t="s">
        <v>43</v>
      </c>
      <c r="L17" s="13" t="s">
        <v>41</v>
      </c>
      <c r="M17" s="13" t="s">
        <v>43</v>
      </c>
      <c r="N17" s="13" t="s">
        <v>41</v>
      </c>
      <c r="O17" s="13" t="s">
        <v>41</v>
      </c>
      <c r="P17" s="13" t="s">
        <v>43</v>
      </c>
      <c r="Q17" s="13" t="s">
        <v>41</v>
      </c>
      <c r="R17" s="13" t="s">
        <v>43</v>
      </c>
      <c r="S17" s="13" t="s">
        <v>41</v>
      </c>
      <c r="T17" s="13" t="s">
        <v>41</v>
      </c>
      <c r="U17" s="13" t="s">
        <v>43</v>
      </c>
      <c r="V17" s="13" t="s">
        <v>41</v>
      </c>
      <c r="W17" s="13" t="s">
        <v>41</v>
      </c>
      <c r="X17" s="13" t="s">
        <v>41</v>
      </c>
      <c r="Y17" s="13" t="s">
        <v>41</v>
      </c>
      <c r="Z17" s="13" t="s">
        <v>41</v>
      </c>
      <c r="AA17" s="13" t="s">
        <v>41</v>
      </c>
      <c r="AB17" s="13" t="s">
        <v>41</v>
      </c>
      <c r="AC17" s="13" t="s">
        <v>41</v>
      </c>
      <c r="AD17" s="13" t="s">
        <v>43</v>
      </c>
      <c r="AE17" s="13" t="s">
        <v>41</v>
      </c>
      <c r="AF17" s="13" t="s">
        <v>41</v>
      </c>
      <c r="AG17" s="13" t="s">
        <v>44</v>
      </c>
    </row>
    <row r="18" spans="1:33" ht="15" customHeight="1" x14ac:dyDescent="0.3">
      <c r="A18" s="12" t="s">
        <v>99</v>
      </c>
      <c r="B18" s="12" t="s">
        <v>34</v>
      </c>
      <c r="C18" s="12" t="s">
        <v>70</v>
      </c>
      <c r="D18" s="12" t="s">
        <v>100</v>
      </c>
      <c r="E18" s="12" t="s">
        <v>101</v>
      </c>
      <c r="F18" s="12" t="s">
        <v>62</v>
      </c>
      <c r="G18" s="12" t="s">
        <v>48</v>
      </c>
      <c r="H18" s="12" t="s">
        <v>56</v>
      </c>
      <c r="I18" s="12" t="s">
        <v>43</v>
      </c>
      <c r="J18" s="12" t="s">
        <v>42</v>
      </c>
      <c r="K18" s="12" t="s">
        <v>41</v>
      </c>
      <c r="L18" s="12" t="s">
        <v>43</v>
      </c>
      <c r="M18" s="12" t="s">
        <v>43</v>
      </c>
      <c r="N18" s="12" t="s">
        <v>41</v>
      </c>
      <c r="O18" s="12" t="s">
        <v>41</v>
      </c>
      <c r="P18" s="12" t="s">
        <v>41</v>
      </c>
      <c r="Q18" s="12" t="s">
        <v>41</v>
      </c>
      <c r="R18" s="12" t="s">
        <v>41</v>
      </c>
      <c r="S18" s="12" t="s">
        <v>43</v>
      </c>
      <c r="T18" s="12" t="s">
        <v>41</v>
      </c>
      <c r="U18" s="12" t="s">
        <v>41</v>
      </c>
      <c r="V18" s="12" t="s">
        <v>41</v>
      </c>
      <c r="W18" s="12" t="s">
        <v>41</v>
      </c>
      <c r="X18" s="12" t="s">
        <v>43</v>
      </c>
      <c r="Y18" s="12" t="s">
        <v>43</v>
      </c>
      <c r="Z18" s="12" t="s">
        <v>41</v>
      </c>
      <c r="AA18" s="12" t="s">
        <v>41</v>
      </c>
      <c r="AB18" s="12" t="s">
        <v>43</v>
      </c>
      <c r="AC18" s="12" t="s">
        <v>41</v>
      </c>
      <c r="AD18" s="12" t="s">
        <v>43</v>
      </c>
      <c r="AE18" s="12" t="s">
        <v>41</v>
      </c>
      <c r="AF18" s="12" t="s">
        <v>43</v>
      </c>
      <c r="AG18" s="12" t="s">
        <v>57</v>
      </c>
    </row>
    <row r="19" spans="1:33" ht="15" customHeight="1" x14ac:dyDescent="0.3">
      <c r="A19" s="13" t="s">
        <v>102</v>
      </c>
      <c r="B19" s="13" t="s">
        <v>46</v>
      </c>
      <c r="C19" s="13" t="s">
        <v>44</v>
      </c>
      <c r="D19" s="13" t="s">
        <v>100</v>
      </c>
      <c r="E19" s="13" t="s">
        <v>94</v>
      </c>
      <c r="F19" s="13" t="s">
        <v>62</v>
      </c>
      <c r="G19" s="13" t="s">
        <v>73</v>
      </c>
      <c r="H19" s="13" t="s">
        <v>56</v>
      </c>
      <c r="I19" s="13" t="s">
        <v>43</v>
      </c>
      <c r="J19" s="13" t="s">
        <v>50</v>
      </c>
      <c r="K19" s="13" t="s">
        <v>41</v>
      </c>
      <c r="L19" s="13" t="s">
        <v>41</v>
      </c>
      <c r="M19" s="13" t="s">
        <v>41</v>
      </c>
      <c r="N19" s="13" t="s">
        <v>41</v>
      </c>
      <c r="O19" s="13" t="s">
        <v>41</v>
      </c>
      <c r="P19" s="13" t="s">
        <v>41</v>
      </c>
      <c r="Q19" s="13" t="s">
        <v>41</v>
      </c>
      <c r="R19" s="13" t="s">
        <v>41</v>
      </c>
      <c r="S19" s="13" t="s">
        <v>41</v>
      </c>
      <c r="T19" s="13" t="s">
        <v>41</v>
      </c>
      <c r="U19" s="13" t="s">
        <v>41</v>
      </c>
      <c r="V19" s="13" t="s">
        <v>41</v>
      </c>
      <c r="W19" s="13" t="s">
        <v>41</v>
      </c>
      <c r="X19" s="13" t="s">
        <v>41</v>
      </c>
      <c r="Y19" s="13" t="s">
        <v>41</v>
      </c>
      <c r="Z19" s="13" t="s">
        <v>41</v>
      </c>
      <c r="AA19" s="13" t="s">
        <v>41</v>
      </c>
      <c r="AB19" s="13" t="s">
        <v>41</v>
      </c>
      <c r="AC19" s="13" t="s">
        <v>41</v>
      </c>
      <c r="AD19" s="13" t="s">
        <v>41</v>
      </c>
      <c r="AE19" s="13" t="s">
        <v>41</v>
      </c>
      <c r="AF19" s="13" t="s">
        <v>41</v>
      </c>
      <c r="AG19" s="13" t="s">
        <v>57</v>
      </c>
    </row>
    <row r="20" spans="1:33" ht="15" customHeight="1" x14ac:dyDescent="0.3">
      <c r="A20" s="12" t="s">
        <v>103</v>
      </c>
      <c r="B20" s="12" t="s">
        <v>46</v>
      </c>
      <c r="C20" s="12" t="s">
        <v>44</v>
      </c>
      <c r="D20" s="12" t="s">
        <v>100</v>
      </c>
      <c r="E20" s="12" t="s">
        <v>81</v>
      </c>
      <c r="F20" s="12" t="s">
        <v>54</v>
      </c>
      <c r="G20" s="12" t="s">
        <v>104</v>
      </c>
      <c r="H20" s="12" t="s">
        <v>40</v>
      </c>
      <c r="I20" s="12" t="s">
        <v>41</v>
      </c>
      <c r="J20" s="12" t="s">
        <v>68</v>
      </c>
      <c r="K20" s="12" t="s">
        <v>43</v>
      </c>
      <c r="L20" s="12" t="s">
        <v>43</v>
      </c>
      <c r="M20" s="12" t="s">
        <v>41</v>
      </c>
      <c r="N20" s="12" t="s">
        <v>41</v>
      </c>
      <c r="O20" s="12" t="s">
        <v>41</v>
      </c>
      <c r="P20" s="12" t="s">
        <v>41</v>
      </c>
      <c r="Q20" s="12" t="s">
        <v>41</v>
      </c>
      <c r="R20" s="12" t="s">
        <v>41</v>
      </c>
      <c r="S20" s="12" t="s">
        <v>41</v>
      </c>
      <c r="T20" s="12" t="s">
        <v>41</v>
      </c>
      <c r="U20" s="12" t="s">
        <v>41</v>
      </c>
      <c r="V20" s="12" t="s">
        <v>41</v>
      </c>
      <c r="W20" s="12" t="s">
        <v>43</v>
      </c>
      <c r="X20" s="12" t="s">
        <v>41</v>
      </c>
      <c r="Y20" s="12" t="s">
        <v>43</v>
      </c>
      <c r="Z20" s="12" t="s">
        <v>43</v>
      </c>
      <c r="AA20" s="12" t="s">
        <v>41</v>
      </c>
      <c r="AB20" s="12" t="s">
        <v>43</v>
      </c>
      <c r="AC20" s="12" t="s">
        <v>43</v>
      </c>
      <c r="AD20" s="12" t="s">
        <v>41</v>
      </c>
      <c r="AE20" s="12" t="s">
        <v>43</v>
      </c>
      <c r="AF20" s="12" t="s">
        <v>41</v>
      </c>
      <c r="AG20" s="12" t="s">
        <v>44</v>
      </c>
    </row>
    <row r="21" spans="1:33" ht="15" customHeight="1" x14ac:dyDescent="0.3">
      <c r="A21" s="13" t="s">
        <v>105</v>
      </c>
      <c r="B21" s="13" t="s">
        <v>34</v>
      </c>
      <c r="C21" s="13" t="s">
        <v>106</v>
      </c>
      <c r="D21" s="13" t="s">
        <v>71</v>
      </c>
      <c r="E21" s="13" t="s">
        <v>107</v>
      </c>
      <c r="F21" s="13" t="s">
        <v>54</v>
      </c>
      <c r="G21" s="13" t="s">
        <v>73</v>
      </c>
      <c r="H21" s="13" t="s">
        <v>56</v>
      </c>
      <c r="I21" s="13" t="s">
        <v>43</v>
      </c>
      <c r="J21" s="13" t="s">
        <v>42</v>
      </c>
      <c r="K21" s="13" t="s">
        <v>43</v>
      </c>
      <c r="L21" s="13" t="s">
        <v>41</v>
      </c>
      <c r="M21" s="13" t="s">
        <v>41</v>
      </c>
      <c r="N21" s="13" t="s">
        <v>41</v>
      </c>
      <c r="O21" s="13" t="s">
        <v>41</v>
      </c>
      <c r="P21" s="13" t="s">
        <v>41</v>
      </c>
      <c r="Q21" s="13" t="s">
        <v>41</v>
      </c>
      <c r="R21" s="13" t="s">
        <v>41</v>
      </c>
      <c r="S21" s="13" t="s">
        <v>41</v>
      </c>
      <c r="T21" s="13" t="s">
        <v>41</v>
      </c>
      <c r="U21" s="13" t="s">
        <v>41</v>
      </c>
      <c r="V21" s="13" t="s">
        <v>41</v>
      </c>
      <c r="W21" s="13" t="s">
        <v>41</v>
      </c>
      <c r="X21" s="13" t="s">
        <v>41</v>
      </c>
      <c r="Y21" s="13" t="s">
        <v>43</v>
      </c>
      <c r="Z21" s="13" t="s">
        <v>41</v>
      </c>
      <c r="AA21" s="13" t="s">
        <v>41</v>
      </c>
      <c r="AB21" s="13" t="s">
        <v>43</v>
      </c>
      <c r="AC21" s="13" t="s">
        <v>41</v>
      </c>
      <c r="AD21" s="13" t="s">
        <v>43</v>
      </c>
      <c r="AE21" s="13" t="s">
        <v>41</v>
      </c>
      <c r="AF21" s="13" t="s">
        <v>41</v>
      </c>
      <c r="AG21" s="13" t="s">
        <v>57</v>
      </c>
    </row>
    <row r="22" spans="1:33" ht="15" customHeight="1" x14ac:dyDescent="0.3">
      <c r="A22" s="12" t="s">
        <v>108</v>
      </c>
      <c r="B22" s="12" t="s">
        <v>34</v>
      </c>
      <c r="C22" s="12" t="s">
        <v>109</v>
      </c>
      <c r="D22" s="12" t="s">
        <v>86</v>
      </c>
      <c r="E22" s="12" t="s">
        <v>110</v>
      </c>
      <c r="F22" s="12" t="s">
        <v>38</v>
      </c>
      <c r="G22" s="12" t="s">
        <v>111</v>
      </c>
      <c r="H22" s="12" t="s">
        <v>49</v>
      </c>
      <c r="I22" s="12" t="s">
        <v>41</v>
      </c>
      <c r="J22" s="12" t="s">
        <v>42</v>
      </c>
      <c r="K22" s="12" t="s">
        <v>41</v>
      </c>
      <c r="L22" s="12" t="s">
        <v>41</v>
      </c>
      <c r="M22" s="12" t="s">
        <v>41</v>
      </c>
      <c r="N22" s="12" t="s">
        <v>43</v>
      </c>
      <c r="O22" s="12" t="s">
        <v>41</v>
      </c>
      <c r="P22" s="12" t="s">
        <v>41</v>
      </c>
      <c r="Q22" s="12" t="s">
        <v>41</v>
      </c>
      <c r="R22" s="12" t="s">
        <v>41</v>
      </c>
      <c r="S22" s="12" t="s">
        <v>41</v>
      </c>
      <c r="T22" s="12" t="s">
        <v>41</v>
      </c>
      <c r="U22" s="12" t="s">
        <v>41</v>
      </c>
      <c r="V22" s="12" t="s">
        <v>41</v>
      </c>
      <c r="W22" s="12" t="s">
        <v>41</v>
      </c>
      <c r="X22" s="12" t="s">
        <v>41</v>
      </c>
      <c r="Y22" s="12" t="s">
        <v>41</v>
      </c>
      <c r="Z22" s="12" t="s">
        <v>41</v>
      </c>
      <c r="AA22" s="12" t="s">
        <v>41</v>
      </c>
      <c r="AB22" s="12" t="s">
        <v>43</v>
      </c>
      <c r="AC22" s="12" t="s">
        <v>41</v>
      </c>
      <c r="AD22" s="12" t="s">
        <v>43</v>
      </c>
      <c r="AE22" s="12" t="s">
        <v>41</v>
      </c>
      <c r="AF22" s="12" t="s">
        <v>43</v>
      </c>
      <c r="AG22" s="12" t="s">
        <v>44</v>
      </c>
    </row>
    <row r="23" spans="1:33" ht="15" customHeight="1" x14ac:dyDescent="0.3">
      <c r="A23" s="13" t="s">
        <v>112</v>
      </c>
      <c r="B23" s="13" t="s">
        <v>34</v>
      </c>
      <c r="C23" s="13" t="s">
        <v>106</v>
      </c>
      <c r="D23" s="13" t="s">
        <v>92</v>
      </c>
      <c r="E23" s="13" t="s">
        <v>113</v>
      </c>
      <c r="F23" s="13" t="s">
        <v>54</v>
      </c>
      <c r="G23" s="13" t="s">
        <v>114</v>
      </c>
      <c r="H23" s="13" t="s">
        <v>49</v>
      </c>
      <c r="I23" s="13" t="s">
        <v>41</v>
      </c>
      <c r="J23" s="13" t="s">
        <v>50</v>
      </c>
      <c r="K23" s="13" t="s">
        <v>41</v>
      </c>
      <c r="L23" s="13" t="s">
        <v>41</v>
      </c>
      <c r="M23" s="13" t="s">
        <v>41</v>
      </c>
      <c r="N23" s="13" t="s">
        <v>41</v>
      </c>
      <c r="O23" s="13" t="s">
        <v>41</v>
      </c>
      <c r="P23" s="13" t="s">
        <v>41</v>
      </c>
      <c r="Q23" s="13" t="s">
        <v>41</v>
      </c>
      <c r="R23" s="13" t="s">
        <v>41</v>
      </c>
      <c r="S23" s="13" t="s">
        <v>41</v>
      </c>
      <c r="T23" s="13" t="s">
        <v>41</v>
      </c>
      <c r="U23" s="13" t="s">
        <v>41</v>
      </c>
      <c r="V23" s="13" t="s">
        <v>41</v>
      </c>
      <c r="W23" s="13" t="s">
        <v>43</v>
      </c>
      <c r="X23" s="13" t="s">
        <v>41</v>
      </c>
      <c r="Y23" s="13" t="s">
        <v>41</v>
      </c>
      <c r="Z23" s="13" t="s">
        <v>41</v>
      </c>
      <c r="AA23" s="13" t="s">
        <v>43</v>
      </c>
      <c r="AB23" s="13" t="s">
        <v>43</v>
      </c>
      <c r="AC23" s="13" t="s">
        <v>41</v>
      </c>
      <c r="AD23" s="13" t="s">
        <v>41</v>
      </c>
      <c r="AE23" s="13" t="s">
        <v>43</v>
      </c>
      <c r="AF23" s="13" t="s">
        <v>41</v>
      </c>
      <c r="AG23" s="13" t="s">
        <v>44</v>
      </c>
    </row>
    <row r="24" spans="1:33" ht="15" customHeight="1" x14ac:dyDescent="0.3">
      <c r="A24" s="12" t="s">
        <v>115</v>
      </c>
      <c r="B24" s="12" t="s">
        <v>46</v>
      </c>
      <c r="C24" s="12" t="s">
        <v>44</v>
      </c>
      <c r="D24" s="12" t="s">
        <v>65</v>
      </c>
      <c r="E24" s="12" t="s">
        <v>116</v>
      </c>
      <c r="F24" s="12" t="s">
        <v>38</v>
      </c>
      <c r="G24" s="12" t="s">
        <v>39</v>
      </c>
      <c r="H24" s="12" t="s">
        <v>49</v>
      </c>
      <c r="I24" s="12" t="s">
        <v>41</v>
      </c>
      <c r="J24" s="12" t="s">
        <v>42</v>
      </c>
      <c r="K24" s="12" t="s">
        <v>41</v>
      </c>
      <c r="L24" s="12" t="s">
        <v>43</v>
      </c>
      <c r="M24" s="12" t="s">
        <v>41</v>
      </c>
      <c r="N24" s="12" t="s">
        <v>41</v>
      </c>
      <c r="O24" s="12" t="s">
        <v>41</v>
      </c>
      <c r="P24" s="12" t="s">
        <v>41</v>
      </c>
      <c r="Q24" s="12" t="s">
        <v>41</v>
      </c>
      <c r="R24" s="12" t="s">
        <v>43</v>
      </c>
      <c r="S24" s="12" t="s">
        <v>41</v>
      </c>
      <c r="T24" s="12" t="s">
        <v>41</v>
      </c>
      <c r="U24" s="12" t="s">
        <v>41</v>
      </c>
      <c r="V24" s="12" t="s">
        <v>41</v>
      </c>
      <c r="W24" s="12" t="s">
        <v>41</v>
      </c>
      <c r="X24" s="12" t="s">
        <v>41</v>
      </c>
      <c r="Y24" s="12" t="s">
        <v>41</v>
      </c>
      <c r="Z24" s="12" t="s">
        <v>41</v>
      </c>
      <c r="AA24" s="12" t="s">
        <v>41</v>
      </c>
      <c r="AB24" s="12" t="s">
        <v>43</v>
      </c>
      <c r="AC24" s="12" t="s">
        <v>41</v>
      </c>
      <c r="AD24" s="12" t="s">
        <v>43</v>
      </c>
      <c r="AE24" s="12" t="s">
        <v>43</v>
      </c>
      <c r="AF24" s="12" t="s">
        <v>43</v>
      </c>
      <c r="AG24" s="12" t="s">
        <v>44</v>
      </c>
    </row>
    <row r="25" spans="1:33" ht="15" customHeight="1" x14ac:dyDescent="0.3">
      <c r="A25" s="13" t="s">
        <v>117</v>
      </c>
      <c r="B25" s="13" t="s">
        <v>46</v>
      </c>
      <c r="C25" s="13" t="s">
        <v>44</v>
      </c>
      <c r="D25" s="13" t="s">
        <v>36</v>
      </c>
      <c r="E25" s="13" t="s">
        <v>118</v>
      </c>
      <c r="F25" s="13" t="s">
        <v>62</v>
      </c>
      <c r="G25" s="13" t="s">
        <v>119</v>
      </c>
      <c r="H25" s="13" t="s">
        <v>56</v>
      </c>
      <c r="I25" s="13" t="s">
        <v>43</v>
      </c>
      <c r="J25" s="13" t="s">
        <v>42</v>
      </c>
      <c r="K25" s="13" t="s">
        <v>41</v>
      </c>
      <c r="L25" s="13" t="s">
        <v>41</v>
      </c>
      <c r="M25" s="13" t="s">
        <v>41</v>
      </c>
      <c r="N25" s="13" t="s">
        <v>41</v>
      </c>
      <c r="O25" s="13" t="s">
        <v>43</v>
      </c>
      <c r="P25" s="13" t="s">
        <v>43</v>
      </c>
      <c r="Q25" s="13" t="s">
        <v>41</v>
      </c>
      <c r="R25" s="13" t="s">
        <v>41</v>
      </c>
      <c r="S25" s="13" t="s">
        <v>41</v>
      </c>
      <c r="T25" s="13" t="s">
        <v>41</v>
      </c>
      <c r="U25" s="13" t="s">
        <v>43</v>
      </c>
      <c r="V25" s="13" t="s">
        <v>41</v>
      </c>
      <c r="W25" s="13" t="s">
        <v>43</v>
      </c>
      <c r="X25" s="13" t="s">
        <v>43</v>
      </c>
      <c r="Y25" s="13" t="s">
        <v>41</v>
      </c>
      <c r="Z25" s="13" t="s">
        <v>41</v>
      </c>
      <c r="AA25" s="13" t="s">
        <v>41</v>
      </c>
      <c r="AB25" s="13" t="s">
        <v>43</v>
      </c>
      <c r="AC25" s="13" t="s">
        <v>41</v>
      </c>
      <c r="AD25" s="13" t="s">
        <v>43</v>
      </c>
      <c r="AE25" s="13" t="s">
        <v>41</v>
      </c>
      <c r="AF25" s="13" t="s">
        <v>41</v>
      </c>
      <c r="AG25" s="13" t="s">
        <v>120</v>
      </c>
    </row>
    <row r="26" spans="1:33" ht="15" customHeight="1" x14ac:dyDescent="0.3">
      <c r="A26" s="12" t="s">
        <v>121</v>
      </c>
      <c r="B26" s="12" t="s">
        <v>46</v>
      </c>
      <c r="C26" s="12" t="s">
        <v>44</v>
      </c>
      <c r="D26" s="12" t="s">
        <v>65</v>
      </c>
      <c r="E26" s="12" t="s">
        <v>94</v>
      </c>
      <c r="F26" s="12" t="s">
        <v>54</v>
      </c>
      <c r="G26" s="12" t="s">
        <v>48</v>
      </c>
      <c r="H26" s="12" t="s">
        <v>49</v>
      </c>
      <c r="I26" s="12" t="s">
        <v>41</v>
      </c>
      <c r="J26" s="12" t="s">
        <v>42</v>
      </c>
      <c r="K26" s="12" t="s">
        <v>41</v>
      </c>
      <c r="L26" s="12" t="s">
        <v>43</v>
      </c>
      <c r="M26" s="12" t="s">
        <v>41</v>
      </c>
      <c r="N26" s="12" t="s">
        <v>43</v>
      </c>
      <c r="O26" s="12" t="s">
        <v>41</v>
      </c>
      <c r="P26" s="12" t="s">
        <v>41</v>
      </c>
      <c r="Q26" s="12" t="s">
        <v>41</v>
      </c>
      <c r="R26" s="12" t="s">
        <v>43</v>
      </c>
      <c r="S26" s="12" t="s">
        <v>41</v>
      </c>
      <c r="T26" s="12" t="s">
        <v>41</v>
      </c>
      <c r="U26" s="12" t="s">
        <v>43</v>
      </c>
      <c r="V26" s="12" t="s">
        <v>41</v>
      </c>
      <c r="W26" s="12" t="s">
        <v>41</v>
      </c>
      <c r="X26" s="12" t="s">
        <v>41</v>
      </c>
      <c r="Y26" s="12" t="s">
        <v>43</v>
      </c>
      <c r="Z26" s="12" t="s">
        <v>41</v>
      </c>
      <c r="AA26" s="12" t="s">
        <v>41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41</v>
      </c>
      <c r="AG26" s="12" t="s">
        <v>44</v>
      </c>
    </row>
    <row r="27" spans="1:33" ht="15" customHeight="1" x14ac:dyDescent="0.3">
      <c r="A27" s="13" t="s">
        <v>122</v>
      </c>
      <c r="B27" s="13" t="s">
        <v>46</v>
      </c>
      <c r="C27" s="13" t="s">
        <v>44</v>
      </c>
      <c r="D27" s="13" t="s">
        <v>52</v>
      </c>
      <c r="E27" s="13" t="s">
        <v>123</v>
      </c>
      <c r="F27" s="13" t="s">
        <v>38</v>
      </c>
      <c r="G27" s="13" t="s">
        <v>88</v>
      </c>
      <c r="H27" s="13" t="s">
        <v>49</v>
      </c>
      <c r="I27" s="13" t="s">
        <v>41</v>
      </c>
      <c r="J27" s="13" t="s">
        <v>68</v>
      </c>
      <c r="K27" s="13" t="s">
        <v>43</v>
      </c>
      <c r="L27" s="13" t="s">
        <v>43</v>
      </c>
      <c r="M27" s="13" t="s">
        <v>41</v>
      </c>
      <c r="N27" s="13" t="s">
        <v>41</v>
      </c>
      <c r="O27" s="13" t="s">
        <v>41</v>
      </c>
      <c r="P27" s="13" t="s">
        <v>43</v>
      </c>
      <c r="Q27" s="13" t="s">
        <v>43</v>
      </c>
      <c r="R27" s="13" t="s">
        <v>41</v>
      </c>
      <c r="S27" s="13" t="s">
        <v>41</v>
      </c>
      <c r="T27" s="13" t="s">
        <v>41</v>
      </c>
      <c r="U27" s="13" t="s">
        <v>41</v>
      </c>
      <c r="V27" s="13" t="s">
        <v>41</v>
      </c>
      <c r="W27" s="13" t="s">
        <v>43</v>
      </c>
      <c r="X27" s="13" t="s">
        <v>43</v>
      </c>
      <c r="Y27" s="13" t="s">
        <v>41</v>
      </c>
      <c r="Z27" s="13" t="s">
        <v>41</v>
      </c>
      <c r="AA27" s="13" t="s">
        <v>41</v>
      </c>
      <c r="AB27" s="13" t="s">
        <v>43</v>
      </c>
      <c r="AC27" s="13" t="s">
        <v>41</v>
      </c>
      <c r="AD27" s="13" t="s">
        <v>41</v>
      </c>
      <c r="AE27" s="13" t="s">
        <v>41</v>
      </c>
      <c r="AF27" s="13" t="s">
        <v>41</v>
      </c>
      <c r="AG27" s="13" t="s">
        <v>44</v>
      </c>
    </row>
    <row r="28" spans="1:33" ht="15" customHeight="1" x14ac:dyDescent="0.3">
      <c r="A28" s="12" t="s">
        <v>124</v>
      </c>
      <c r="B28" s="12" t="s">
        <v>34</v>
      </c>
      <c r="C28" s="12" t="s">
        <v>109</v>
      </c>
      <c r="D28" s="12" t="s">
        <v>125</v>
      </c>
      <c r="E28" s="12" t="s">
        <v>126</v>
      </c>
      <c r="F28" s="12" t="s">
        <v>38</v>
      </c>
      <c r="G28" s="12" t="s">
        <v>104</v>
      </c>
      <c r="H28" s="12" t="s">
        <v>56</v>
      </c>
      <c r="I28" s="12" t="s">
        <v>43</v>
      </c>
      <c r="J28" s="12" t="s">
        <v>50</v>
      </c>
      <c r="K28" s="12" t="s">
        <v>41</v>
      </c>
      <c r="L28" s="12" t="s">
        <v>41</v>
      </c>
      <c r="M28" s="12" t="s">
        <v>41</v>
      </c>
      <c r="N28" s="12" t="s">
        <v>41</v>
      </c>
      <c r="O28" s="12" t="s">
        <v>41</v>
      </c>
      <c r="P28" s="12" t="s">
        <v>41</v>
      </c>
      <c r="Q28" s="12" t="s">
        <v>41</v>
      </c>
      <c r="R28" s="12" t="s">
        <v>41</v>
      </c>
      <c r="S28" s="12" t="s">
        <v>41</v>
      </c>
      <c r="T28" s="12" t="s">
        <v>41</v>
      </c>
      <c r="U28" s="12" t="s">
        <v>43</v>
      </c>
      <c r="V28" s="12" t="s">
        <v>41</v>
      </c>
      <c r="W28" s="12" t="s">
        <v>41</v>
      </c>
      <c r="X28" s="12" t="s">
        <v>41</v>
      </c>
      <c r="Y28" s="12" t="s">
        <v>41</v>
      </c>
      <c r="Z28" s="12" t="s">
        <v>41</v>
      </c>
      <c r="AA28" s="12" t="s">
        <v>41</v>
      </c>
      <c r="AB28" s="12" t="s">
        <v>43</v>
      </c>
      <c r="AC28" s="12" t="s">
        <v>43</v>
      </c>
      <c r="AD28" s="12" t="s">
        <v>41</v>
      </c>
      <c r="AE28" s="12" t="s">
        <v>43</v>
      </c>
      <c r="AF28" s="12" t="s">
        <v>43</v>
      </c>
      <c r="AG28" s="12" t="s">
        <v>57</v>
      </c>
    </row>
    <row r="29" spans="1:33" ht="15" customHeight="1" x14ac:dyDescent="0.3">
      <c r="A29" s="13" t="s">
        <v>127</v>
      </c>
      <c r="B29" s="13" t="s">
        <v>34</v>
      </c>
      <c r="C29" s="13" t="s">
        <v>109</v>
      </c>
      <c r="D29" s="13" t="s">
        <v>65</v>
      </c>
      <c r="E29" s="13" t="s">
        <v>126</v>
      </c>
      <c r="F29" s="13" t="s">
        <v>62</v>
      </c>
      <c r="G29" s="13" t="s">
        <v>119</v>
      </c>
      <c r="H29" s="13" t="s">
        <v>56</v>
      </c>
      <c r="I29" s="13" t="s">
        <v>43</v>
      </c>
      <c r="J29" s="13" t="s">
        <v>42</v>
      </c>
      <c r="K29" s="13" t="s">
        <v>43</v>
      </c>
      <c r="L29" s="13" t="s">
        <v>41</v>
      </c>
      <c r="M29" s="13" t="s">
        <v>41</v>
      </c>
      <c r="N29" s="13" t="s">
        <v>41</v>
      </c>
      <c r="O29" s="13" t="s">
        <v>41</v>
      </c>
      <c r="P29" s="13" t="s">
        <v>43</v>
      </c>
      <c r="Q29" s="13" t="s">
        <v>41</v>
      </c>
      <c r="R29" s="13" t="s">
        <v>43</v>
      </c>
      <c r="S29" s="13" t="s">
        <v>41</v>
      </c>
      <c r="T29" s="13" t="s">
        <v>41</v>
      </c>
      <c r="U29" s="13" t="s">
        <v>41</v>
      </c>
      <c r="V29" s="13" t="s">
        <v>43</v>
      </c>
      <c r="W29" s="13" t="s">
        <v>41</v>
      </c>
      <c r="X29" s="13" t="s">
        <v>41</v>
      </c>
      <c r="Y29" s="13" t="s">
        <v>41</v>
      </c>
      <c r="Z29" s="13" t="s">
        <v>41</v>
      </c>
      <c r="AA29" s="13" t="s">
        <v>43</v>
      </c>
      <c r="AB29" s="13" t="s">
        <v>41</v>
      </c>
      <c r="AC29" s="13" t="s">
        <v>43</v>
      </c>
      <c r="AD29" s="13" t="s">
        <v>43</v>
      </c>
      <c r="AE29" s="13" t="s">
        <v>41</v>
      </c>
      <c r="AF29" s="13" t="s">
        <v>43</v>
      </c>
      <c r="AG29" s="13" t="s">
        <v>120</v>
      </c>
    </row>
    <row r="30" spans="1:33" ht="15" customHeight="1" x14ac:dyDescent="0.3">
      <c r="A30" s="12" t="s">
        <v>128</v>
      </c>
      <c r="B30" s="12" t="s">
        <v>34</v>
      </c>
      <c r="C30" s="12" t="s">
        <v>129</v>
      </c>
      <c r="D30" s="12" t="s">
        <v>71</v>
      </c>
      <c r="E30" s="12" t="s">
        <v>130</v>
      </c>
      <c r="F30" s="12" t="s">
        <v>62</v>
      </c>
      <c r="G30" s="12" t="s">
        <v>55</v>
      </c>
      <c r="H30" s="12" t="s">
        <v>49</v>
      </c>
      <c r="I30" s="12" t="s">
        <v>43</v>
      </c>
      <c r="J30" s="12" t="s">
        <v>68</v>
      </c>
      <c r="K30" s="12" t="s">
        <v>41</v>
      </c>
      <c r="L30" s="12" t="s">
        <v>43</v>
      </c>
      <c r="M30" s="12" t="s">
        <v>41</v>
      </c>
      <c r="N30" s="12" t="s">
        <v>41</v>
      </c>
      <c r="O30" s="12" t="s">
        <v>41</v>
      </c>
      <c r="P30" s="12" t="s">
        <v>41</v>
      </c>
      <c r="Q30" s="12" t="s">
        <v>41</v>
      </c>
      <c r="R30" s="12" t="s">
        <v>41</v>
      </c>
      <c r="S30" s="12" t="s">
        <v>41</v>
      </c>
      <c r="T30" s="12" t="s">
        <v>41</v>
      </c>
      <c r="U30" s="12" t="s">
        <v>41</v>
      </c>
      <c r="V30" s="12" t="s">
        <v>41</v>
      </c>
      <c r="W30" s="12" t="s">
        <v>41</v>
      </c>
      <c r="X30" s="12" t="s">
        <v>41</v>
      </c>
      <c r="Y30" s="12" t="s">
        <v>43</v>
      </c>
      <c r="Z30" s="12" t="s">
        <v>41</v>
      </c>
      <c r="AA30" s="12" t="s">
        <v>41</v>
      </c>
      <c r="AB30" s="12" t="s">
        <v>41</v>
      </c>
      <c r="AC30" s="12" t="s">
        <v>41</v>
      </c>
      <c r="AD30" s="12" t="s">
        <v>41</v>
      </c>
      <c r="AE30" s="12" t="s">
        <v>43</v>
      </c>
      <c r="AF30" s="12" t="s">
        <v>41</v>
      </c>
      <c r="AG30" s="12" t="s">
        <v>44</v>
      </c>
    </row>
    <row r="31" spans="1:33" ht="15" customHeight="1" x14ac:dyDescent="0.3">
      <c r="A31" s="13" t="s">
        <v>131</v>
      </c>
      <c r="B31" s="13" t="s">
        <v>46</v>
      </c>
      <c r="C31" s="13" t="s">
        <v>44</v>
      </c>
      <c r="D31" s="13" t="s">
        <v>65</v>
      </c>
      <c r="E31" s="13" t="s">
        <v>66</v>
      </c>
      <c r="F31" s="13" t="s">
        <v>54</v>
      </c>
      <c r="G31" s="13" t="s">
        <v>48</v>
      </c>
      <c r="H31" s="13" t="s">
        <v>56</v>
      </c>
      <c r="I31" s="13" t="s">
        <v>43</v>
      </c>
      <c r="J31" s="13" t="s">
        <v>68</v>
      </c>
      <c r="K31" s="13" t="s">
        <v>41</v>
      </c>
      <c r="L31" s="13" t="s">
        <v>43</v>
      </c>
      <c r="M31" s="13" t="s">
        <v>41</v>
      </c>
      <c r="N31" s="13" t="s">
        <v>41</v>
      </c>
      <c r="O31" s="13" t="s">
        <v>41</v>
      </c>
      <c r="P31" s="13" t="s">
        <v>43</v>
      </c>
      <c r="Q31" s="13" t="s">
        <v>41</v>
      </c>
      <c r="R31" s="13" t="s">
        <v>41</v>
      </c>
      <c r="S31" s="13" t="s">
        <v>41</v>
      </c>
      <c r="T31" s="13" t="s">
        <v>41</v>
      </c>
      <c r="U31" s="13" t="s">
        <v>41</v>
      </c>
      <c r="V31" s="13" t="s">
        <v>41</v>
      </c>
      <c r="W31" s="13" t="s">
        <v>43</v>
      </c>
      <c r="X31" s="13" t="s">
        <v>41</v>
      </c>
      <c r="Y31" s="13" t="s">
        <v>43</v>
      </c>
      <c r="Z31" s="13" t="s">
        <v>41</v>
      </c>
      <c r="AA31" s="13" t="s">
        <v>41</v>
      </c>
      <c r="AB31" s="13" t="s">
        <v>43</v>
      </c>
      <c r="AC31" s="13" t="s">
        <v>41</v>
      </c>
      <c r="AD31" s="13" t="s">
        <v>41</v>
      </c>
      <c r="AE31" s="13" t="s">
        <v>43</v>
      </c>
      <c r="AF31" s="13" t="s">
        <v>41</v>
      </c>
      <c r="AG31" s="13" t="s">
        <v>57</v>
      </c>
    </row>
    <row r="32" spans="1:33" ht="15" customHeight="1" x14ac:dyDescent="0.3">
      <c r="A32" s="12" t="s">
        <v>132</v>
      </c>
      <c r="B32" s="12" t="s">
        <v>46</v>
      </c>
      <c r="C32" s="12" t="s">
        <v>44</v>
      </c>
      <c r="D32" s="12" t="s">
        <v>71</v>
      </c>
      <c r="E32" s="12" t="s">
        <v>98</v>
      </c>
      <c r="F32" s="12" t="s">
        <v>62</v>
      </c>
      <c r="G32" s="12" t="s">
        <v>63</v>
      </c>
      <c r="H32" s="12" t="s">
        <v>40</v>
      </c>
      <c r="I32" s="12" t="s">
        <v>41</v>
      </c>
      <c r="J32" s="12" t="s">
        <v>50</v>
      </c>
      <c r="K32" s="12" t="s">
        <v>41</v>
      </c>
      <c r="L32" s="12" t="s">
        <v>41</v>
      </c>
      <c r="M32" s="12" t="s">
        <v>43</v>
      </c>
      <c r="N32" s="12" t="s">
        <v>41</v>
      </c>
      <c r="O32" s="12" t="s">
        <v>41</v>
      </c>
      <c r="P32" s="12" t="s">
        <v>41</v>
      </c>
      <c r="Q32" s="12" t="s">
        <v>41</v>
      </c>
      <c r="R32" s="12" t="s">
        <v>41</v>
      </c>
      <c r="S32" s="12" t="s">
        <v>41</v>
      </c>
      <c r="T32" s="12" t="s">
        <v>41</v>
      </c>
      <c r="U32" s="12" t="s">
        <v>41</v>
      </c>
      <c r="V32" s="12" t="s">
        <v>41</v>
      </c>
      <c r="W32" s="12" t="s">
        <v>43</v>
      </c>
      <c r="X32" s="12" t="s">
        <v>41</v>
      </c>
      <c r="Y32" s="12" t="s">
        <v>43</v>
      </c>
      <c r="Z32" s="12" t="s">
        <v>41</v>
      </c>
      <c r="AA32" s="12" t="s">
        <v>43</v>
      </c>
      <c r="AB32" s="12" t="s">
        <v>41</v>
      </c>
      <c r="AC32" s="12" t="s">
        <v>41</v>
      </c>
      <c r="AD32" s="12" t="s">
        <v>41</v>
      </c>
      <c r="AE32" s="12" t="s">
        <v>43</v>
      </c>
      <c r="AF32" s="12" t="s">
        <v>43</v>
      </c>
      <c r="AG32" s="12" t="s">
        <v>44</v>
      </c>
    </row>
    <row r="33" spans="1:33" ht="15" customHeight="1" x14ac:dyDescent="0.3">
      <c r="A33" s="13" t="s">
        <v>133</v>
      </c>
      <c r="B33" s="13" t="s">
        <v>46</v>
      </c>
      <c r="C33" s="13" t="s">
        <v>44</v>
      </c>
      <c r="D33" s="13" t="s">
        <v>77</v>
      </c>
      <c r="E33" s="13" t="s">
        <v>134</v>
      </c>
      <c r="F33" s="13" t="s">
        <v>38</v>
      </c>
      <c r="G33" s="13" t="s">
        <v>104</v>
      </c>
      <c r="H33" s="13" t="s">
        <v>49</v>
      </c>
      <c r="I33" s="13" t="s">
        <v>41</v>
      </c>
      <c r="J33" s="13" t="s">
        <v>50</v>
      </c>
      <c r="K33" s="13" t="s">
        <v>41</v>
      </c>
      <c r="L33" s="13" t="s">
        <v>41</v>
      </c>
      <c r="M33" s="13" t="s">
        <v>41</v>
      </c>
      <c r="N33" s="13" t="s">
        <v>43</v>
      </c>
      <c r="O33" s="13" t="s">
        <v>43</v>
      </c>
      <c r="P33" s="13" t="s">
        <v>41</v>
      </c>
      <c r="Q33" s="13" t="s">
        <v>41</v>
      </c>
      <c r="R33" s="13" t="s">
        <v>41</v>
      </c>
      <c r="S33" s="13" t="s">
        <v>41</v>
      </c>
      <c r="T33" s="13" t="s">
        <v>43</v>
      </c>
      <c r="U33" s="13" t="s">
        <v>41</v>
      </c>
      <c r="V33" s="13" t="s">
        <v>41</v>
      </c>
      <c r="W33" s="13" t="s">
        <v>41</v>
      </c>
      <c r="X33" s="13" t="s">
        <v>43</v>
      </c>
      <c r="Y33" s="13" t="s">
        <v>41</v>
      </c>
      <c r="Z33" s="13" t="s">
        <v>41</v>
      </c>
      <c r="AA33" s="13" t="s">
        <v>41</v>
      </c>
      <c r="AB33" s="13" t="s">
        <v>43</v>
      </c>
      <c r="AC33" s="13" t="s">
        <v>41</v>
      </c>
      <c r="AD33" s="13" t="s">
        <v>41</v>
      </c>
      <c r="AE33" s="13" t="s">
        <v>41</v>
      </c>
      <c r="AF33" s="13" t="s">
        <v>41</v>
      </c>
      <c r="AG33" s="13" t="s">
        <v>44</v>
      </c>
    </row>
    <row r="34" spans="1:33" ht="15" customHeight="1" x14ac:dyDescent="0.3">
      <c r="A34" s="12" t="s">
        <v>135</v>
      </c>
      <c r="B34" s="12" t="s">
        <v>34</v>
      </c>
      <c r="C34" s="12" t="s">
        <v>59</v>
      </c>
      <c r="D34" s="12" t="s">
        <v>36</v>
      </c>
      <c r="E34" s="12" t="s">
        <v>136</v>
      </c>
      <c r="F34" s="12" t="s">
        <v>62</v>
      </c>
      <c r="G34" s="12" t="s">
        <v>88</v>
      </c>
      <c r="H34" s="12" t="s">
        <v>56</v>
      </c>
      <c r="I34" s="12" t="s">
        <v>43</v>
      </c>
      <c r="J34" s="12" t="s">
        <v>68</v>
      </c>
      <c r="K34" s="12" t="s">
        <v>43</v>
      </c>
      <c r="L34" s="12" t="s">
        <v>41</v>
      </c>
      <c r="M34" s="12" t="s">
        <v>41</v>
      </c>
      <c r="N34" s="12" t="s">
        <v>41</v>
      </c>
      <c r="O34" s="12" t="s">
        <v>41</v>
      </c>
      <c r="P34" s="12" t="s">
        <v>43</v>
      </c>
      <c r="Q34" s="12" t="s">
        <v>41</v>
      </c>
      <c r="R34" s="12" t="s">
        <v>41</v>
      </c>
      <c r="S34" s="12" t="s">
        <v>43</v>
      </c>
      <c r="T34" s="12" t="s">
        <v>41</v>
      </c>
      <c r="U34" s="12" t="s">
        <v>41</v>
      </c>
      <c r="V34" s="12" t="s">
        <v>41</v>
      </c>
      <c r="W34" s="12" t="s">
        <v>41</v>
      </c>
      <c r="X34" s="12" t="s">
        <v>41</v>
      </c>
      <c r="Y34" s="12" t="s">
        <v>41</v>
      </c>
      <c r="Z34" s="12" t="s">
        <v>41</v>
      </c>
      <c r="AA34" s="12" t="s">
        <v>41</v>
      </c>
      <c r="AB34" s="12" t="s">
        <v>43</v>
      </c>
      <c r="AC34" s="12" t="s">
        <v>41</v>
      </c>
      <c r="AD34" s="12" t="s">
        <v>41</v>
      </c>
      <c r="AE34" s="12" t="s">
        <v>43</v>
      </c>
      <c r="AF34" s="12" t="s">
        <v>43</v>
      </c>
      <c r="AG34" s="12" t="s">
        <v>120</v>
      </c>
    </row>
    <row r="35" spans="1:33" ht="15" customHeight="1" x14ac:dyDescent="0.3">
      <c r="A35" s="13" t="s">
        <v>137</v>
      </c>
      <c r="B35" s="13" t="s">
        <v>46</v>
      </c>
      <c r="C35" s="13" t="s">
        <v>44</v>
      </c>
      <c r="D35" s="13" t="s">
        <v>125</v>
      </c>
      <c r="E35" s="13" t="s">
        <v>138</v>
      </c>
      <c r="F35" s="13" t="s">
        <v>62</v>
      </c>
      <c r="G35" s="13" t="s">
        <v>119</v>
      </c>
      <c r="H35" s="13" t="s">
        <v>40</v>
      </c>
      <c r="I35" s="13" t="s">
        <v>41</v>
      </c>
      <c r="J35" s="13" t="s">
        <v>50</v>
      </c>
      <c r="K35" s="13" t="s">
        <v>41</v>
      </c>
      <c r="L35" s="13" t="s">
        <v>43</v>
      </c>
      <c r="M35" s="13" t="s">
        <v>41</v>
      </c>
      <c r="N35" s="13" t="s">
        <v>43</v>
      </c>
      <c r="O35" s="13" t="s">
        <v>41</v>
      </c>
      <c r="P35" s="13" t="s">
        <v>43</v>
      </c>
      <c r="Q35" s="13" t="s">
        <v>41</v>
      </c>
      <c r="R35" s="13" t="s">
        <v>41</v>
      </c>
      <c r="S35" s="13" t="s">
        <v>41</v>
      </c>
      <c r="T35" s="13" t="s">
        <v>41</v>
      </c>
      <c r="U35" s="13" t="s">
        <v>41</v>
      </c>
      <c r="V35" s="13" t="s">
        <v>41</v>
      </c>
      <c r="W35" s="13" t="s">
        <v>41</v>
      </c>
      <c r="X35" s="13" t="s">
        <v>43</v>
      </c>
      <c r="Y35" s="13" t="s">
        <v>41</v>
      </c>
      <c r="Z35" s="13" t="s">
        <v>41</v>
      </c>
      <c r="AA35" s="13" t="s">
        <v>41</v>
      </c>
      <c r="AB35" s="13" t="s">
        <v>43</v>
      </c>
      <c r="AC35" s="13" t="s">
        <v>41</v>
      </c>
      <c r="AD35" s="13" t="s">
        <v>41</v>
      </c>
      <c r="AE35" s="13" t="s">
        <v>41</v>
      </c>
      <c r="AF35" s="13" t="s">
        <v>43</v>
      </c>
      <c r="AG35" s="13" t="s">
        <v>44</v>
      </c>
    </row>
    <row r="36" spans="1:33" ht="15" customHeight="1" x14ac:dyDescent="0.3">
      <c r="A36" s="12" t="s">
        <v>139</v>
      </c>
      <c r="B36" s="12" t="s">
        <v>46</v>
      </c>
      <c r="C36" s="12" t="s">
        <v>44</v>
      </c>
      <c r="D36" s="12" t="s">
        <v>52</v>
      </c>
      <c r="E36" s="12" t="s">
        <v>140</v>
      </c>
      <c r="F36" s="12" t="s">
        <v>54</v>
      </c>
      <c r="G36" s="12" t="s">
        <v>119</v>
      </c>
      <c r="H36" s="12" t="s">
        <v>56</v>
      </c>
      <c r="I36" s="12" t="s">
        <v>43</v>
      </c>
      <c r="J36" s="12" t="s">
        <v>68</v>
      </c>
      <c r="K36" s="12" t="s">
        <v>41</v>
      </c>
      <c r="L36" s="12" t="s">
        <v>41</v>
      </c>
      <c r="M36" s="12" t="s">
        <v>41</v>
      </c>
      <c r="N36" s="12" t="s">
        <v>43</v>
      </c>
      <c r="O36" s="12" t="s">
        <v>41</v>
      </c>
      <c r="P36" s="12" t="s">
        <v>41</v>
      </c>
      <c r="Q36" s="12" t="s">
        <v>41</v>
      </c>
      <c r="R36" s="12" t="s">
        <v>41</v>
      </c>
      <c r="S36" s="12" t="s">
        <v>41</v>
      </c>
      <c r="T36" s="12" t="s">
        <v>41</v>
      </c>
      <c r="U36" s="12" t="s">
        <v>41</v>
      </c>
      <c r="V36" s="12" t="s">
        <v>43</v>
      </c>
      <c r="W36" s="12" t="s">
        <v>43</v>
      </c>
      <c r="X36" s="12" t="s">
        <v>43</v>
      </c>
      <c r="Y36" s="12" t="s">
        <v>41</v>
      </c>
      <c r="Z36" s="12" t="s">
        <v>41</v>
      </c>
      <c r="AA36" s="12" t="s">
        <v>41</v>
      </c>
      <c r="AB36" s="12" t="s">
        <v>43</v>
      </c>
      <c r="AC36" s="12" t="s">
        <v>43</v>
      </c>
      <c r="AD36" s="12" t="s">
        <v>41</v>
      </c>
      <c r="AE36" s="12" t="s">
        <v>41</v>
      </c>
      <c r="AF36" s="12" t="s">
        <v>41</v>
      </c>
      <c r="AG36" s="12" t="s">
        <v>120</v>
      </c>
    </row>
    <row r="37" spans="1:33" ht="15" customHeight="1" x14ac:dyDescent="0.3">
      <c r="A37" s="13" t="s">
        <v>141</v>
      </c>
      <c r="B37" s="13" t="s">
        <v>46</v>
      </c>
      <c r="C37" s="13" t="s">
        <v>44</v>
      </c>
      <c r="D37" s="13" t="s">
        <v>100</v>
      </c>
      <c r="E37" s="13" t="s">
        <v>142</v>
      </c>
      <c r="F37" s="13" t="s">
        <v>38</v>
      </c>
      <c r="G37" s="13" t="s">
        <v>104</v>
      </c>
      <c r="H37" s="13" t="s">
        <v>49</v>
      </c>
      <c r="I37" s="13" t="s">
        <v>41</v>
      </c>
      <c r="J37" s="13" t="s">
        <v>50</v>
      </c>
      <c r="K37" s="13" t="s">
        <v>41</v>
      </c>
      <c r="L37" s="13" t="s">
        <v>43</v>
      </c>
      <c r="M37" s="13" t="s">
        <v>41</v>
      </c>
      <c r="N37" s="13" t="s">
        <v>41</v>
      </c>
      <c r="O37" s="13" t="s">
        <v>41</v>
      </c>
      <c r="P37" s="13" t="s">
        <v>41</v>
      </c>
      <c r="Q37" s="13" t="s">
        <v>41</v>
      </c>
      <c r="R37" s="13" t="s">
        <v>41</v>
      </c>
      <c r="S37" s="13" t="s">
        <v>41</v>
      </c>
      <c r="T37" s="13" t="s">
        <v>41</v>
      </c>
      <c r="U37" s="13" t="s">
        <v>43</v>
      </c>
      <c r="V37" s="13" t="s">
        <v>41</v>
      </c>
      <c r="W37" s="13" t="s">
        <v>41</v>
      </c>
      <c r="X37" s="13" t="s">
        <v>41</v>
      </c>
      <c r="Y37" s="13" t="s">
        <v>43</v>
      </c>
      <c r="Z37" s="13" t="s">
        <v>41</v>
      </c>
      <c r="AA37" s="13" t="s">
        <v>41</v>
      </c>
      <c r="AB37" s="13" t="s">
        <v>41</v>
      </c>
      <c r="AC37" s="13" t="s">
        <v>43</v>
      </c>
      <c r="AD37" s="13" t="s">
        <v>41</v>
      </c>
      <c r="AE37" s="13" t="s">
        <v>41</v>
      </c>
      <c r="AF37" s="13" t="s">
        <v>41</v>
      </c>
      <c r="AG37" s="13" t="s">
        <v>44</v>
      </c>
    </row>
    <row r="38" spans="1:33" ht="15" customHeight="1" x14ac:dyDescent="0.3">
      <c r="A38" s="12" t="s">
        <v>143</v>
      </c>
      <c r="B38" s="12" t="s">
        <v>34</v>
      </c>
      <c r="C38" s="12" t="s">
        <v>144</v>
      </c>
      <c r="D38" s="12" t="s">
        <v>77</v>
      </c>
      <c r="E38" s="12" t="s">
        <v>145</v>
      </c>
      <c r="F38" s="12" t="s">
        <v>38</v>
      </c>
      <c r="G38" s="12" t="s">
        <v>146</v>
      </c>
      <c r="H38" s="12" t="s">
        <v>56</v>
      </c>
      <c r="I38" s="12" t="s">
        <v>43</v>
      </c>
      <c r="J38" s="12" t="s">
        <v>68</v>
      </c>
      <c r="K38" s="12" t="s">
        <v>43</v>
      </c>
      <c r="L38" s="12" t="s">
        <v>43</v>
      </c>
      <c r="M38" s="12" t="s">
        <v>41</v>
      </c>
      <c r="N38" s="12" t="s">
        <v>41</v>
      </c>
      <c r="O38" s="12" t="s">
        <v>43</v>
      </c>
      <c r="P38" s="12" t="s">
        <v>43</v>
      </c>
      <c r="Q38" s="12" t="s">
        <v>41</v>
      </c>
      <c r="R38" s="12" t="s">
        <v>41</v>
      </c>
      <c r="S38" s="12" t="s">
        <v>41</v>
      </c>
      <c r="T38" s="12" t="s">
        <v>41</v>
      </c>
      <c r="U38" s="12" t="s">
        <v>41</v>
      </c>
      <c r="V38" s="12" t="s">
        <v>41</v>
      </c>
      <c r="W38" s="12" t="s">
        <v>41</v>
      </c>
      <c r="X38" s="12" t="s">
        <v>41</v>
      </c>
      <c r="Y38" s="12" t="s">
        <v>41</v>
      </c>
      <c r="Z38" s="12" t="s">
        <v>41</v>
      </c>
      <c r="AA38" s="12" t="s">
        <v>41</v>
      </c>
      <c r="AB38" s="12" t="s">
        <v>43</v>
      </c>
      <c r="AC38" s="12" t="s">
        <v>41</v>
      </c>
      <c r="AD38" s="12" t="s">
        <v>41</v>
      </c>
      <c r="AE38" s="12" t="s">
        <v>41</v>
      </c>
      <c r="AF38" s="12" t="s">
        <v>41</v>
      </c>
      <c r="AG38" s="12" t="s">
        <v>120</v>
      </c>
    </row>
    <row r="39" spans="1:33" ht="15" customHeight="1" x14ac:dyDescent="0.3">
      <c r="A39" s="13" t="s">
        <v>147</v>
      </c>
      <c r="B39" s="13" t="s">
        <v>34</v>
      </c>
      <c r="C39" s="13" t="s">
        <v>35</v>
      </c>
      <c r="D39" s="13" t="s">
        <v>125</v>
      </c>
      <c r="E39" s="13" t="s">
        <v>140</v>
      </c>
      <c r="F39" s="13" t="s">
        <v>38</v>
      </c>
      <c r="G39" s="13" t="s">
        <v>104</v>
      </c>
      <c r="H39" s="13" t="s">
        <v>49</v>
      </c>
      <c r="I39" s="13" t="s">
        <v>41</v>
      </c>
      <c r="J39" s="13" t="s">
        <v>42</v>
      </c>
      <c r="K39" s="13" t="s">
        <v>43</v>
      </c>
      <c r="L39" s="13" t="s">
        <v>43</v>
      </c>
      <c r="M39" s="13" t="s">
        <v>43</v>
      </c>
      <c r="N39" s="13" t="s">
        <v>41</v>
      </c>
      <c r="O39" s="13" t="s">
        <v>43</v>
      </c>
      <c r="P39" s="13" t="s">
        <v>43</v>
      </c>
      <c r="Q39" s="13" t="s">
        <v>41</v>
      </c>
      <c r="R39" s="13" t="s">
        <v>41</v>
      </c>
      <c r="S39" s="13" t="s">
        <v>41</v>
      </c>
      <c r="T39" s="13" t="s">
        <v>41</v>
      </c>
      <c r="U39" s="13" t="s">
        <v>41</v>
      </c>
      <c r="V39" s="13" t="s">
        <v>41</v>
      </c>
      <c r="W39" s="13" t="s">
        <v>41</v>
      </c>
      <c r="X39" s="13" t="s">
        <v>41</v>
      </c>
      <c r="Y39" s="13" t="s">
        <v>41</v>
      </c>
      <c r="Z39" s="13" t="s">
        <v>41</v>
      </c>
      <c r="AA39" s="13" t="s">
        <v>41</v>
      </c>
      <c r="AB39" s="13" t="s">
        <v>43</v>
      </c>
      <c r="AC39" s="13" t="s">
        <v>41</v>
      </c>
      <c r="AD39" s="13" t="s">
        <v>43</v>
      </c>
      <c r="AE39" s="13" t="s">
        <v>41</v>
      </c>
      <c r="AF39" s="13" t="s">
        <v>43</v>
      </c>
      <c r="AG39" s="13" t="s">
        <v>44</v>
      </c>
    </row>
    <row r="40" spans="1:33" ht="15" customHeight="1" x14ac:dyDescent="0.3">
      <c r="A40" s="12" t="s">
        <v>148</v>
      </c>
      <c r="B40" s="12" t="s">
        <v>46</v>
      </c>
      <c r="C40" s="12" t="s">
        <v>44</v>
      </c>
      <c r="D40" s="12" t="s">
        <v>92</v>
      </c>
      <c r="E40" s="12" t="s">
        <v>149</v>
      </c>
      <c r="F40" s="12" t="s">
        <v>62</v>
      </c>
      <c r="G40" s="12" t="s">
        <v>150</v>
      </c>
      <c r="H40" s="12" t="s">
        <v>49</v>
      </c>
      <c r="I40" s="12" t="s">
        <v>43</v>
      </c>
      <c r="J40" s="12" t="s">
        <v>50</v>
      </c>
      <c r="K40" s="12" t="s">
        <v>41</v>
      </c>
      <c r="L40" s="12" t="s">
        <v>41</v>
      </c>
      <c r="M40" s="12" t="s">
        <v>41</v>
      </c>
      <c r="N40" s="12" t="s">
        <v>41</v>
      </c>
      <c r="O40" s="12" t="s">
        <v>41</v>
      </c>
      <c r="P40" s="12" t="s">
        <v>41</v>
      </c>
      <c r="Q40" s="12" t="s">
        <v>41</v>
      </c>
      <c r="R40" s="12" t="s">
        <v>43</v>
      </c>
      <c r="S40" s="12" t="s">
        <v>41</v>
      </c>
      <c r="T40" s="12" t="s">
        <v>41</v>
      </c>
      <c r="U40" s="12" t="s">
        <v>41</v>
      </c>
      <c r="V40" s="12" t="s">
        <v>41</v>
      </c>
      <c r="W40" s="12" t="s">
        <v>41</v>
      </c>
      <c r="X40" s="12" t="s">
        <v>41</v>
      </c>
      <c r="Y40" s="12" t="s">
        <v>41</v>
      </c>
      <c r="Z40" s="12" t="s">
        <v>41</v>
      </c>
      <c r="AA40" s="12" t="s">
        <v>41</v>
      </c>
      <c r="AB40" s="12" t="s">
        <v>43</v>
      </c>
      <c r="AC40" s="12" t="s">
        <v>41</v>
      </c>
      <c r="AD40" s="12" t="s">
        <v>41</v>
      </c>
      <c r="AE40" s="12" t="s">
        <v>43</v>
      </c>
      <c r="AF40" s="12" t="s">
        <v>43</v>
      </c>
      <c r="AG40" s="12" t="s">
        <v>44</v>
      </c>
    </row>
    <row r="41" spans="1:33" ht="15" customHeight="1" x14ac:dyDescent="0.3">
      <c r="A41" s="13" t="s">
        <v>151</v>
      </c>
      <c r="B41" s="13" t="s">
        <v>34</v>
      </c>
      <c r="C41" s="13" t="s">
        <v>144</v>
      </c>
      <c r="D41" s="13" t="s">
        <v>71</v>
      </c>
      <c r="E41" s="13" t="s">
        <v>138</v>
      </c>
      <c r="F41" s="13" t="s">
        <v>62</v>
      </c>
      <c r="G41" s="13" t="s">
        <v>146</v>
      </c>
      <c r="H41" s="13" t="s">
        <v>40</v>
      </c>
      <c r="I41" s="13" t="s">
        <v>43</v>
      </c>
      <c r="J41" s="13" t="s">
        <v>42</v>
      </c>
      <c r="K41" s="13" t="s">
        <v>41</v>
      </c>
      <c r="L41" s="13" t="s">
        <v>41</v>
      </c>
      <c r="M41" s="13" t="s">
        <v>43</v>
      </c>
      <c r="N41" s="13" t="s">
        <v>43</v>
      </c>
      <c r="O41" s="13" t="s">
        <v>41</v>
      </c>
      <c r="P41" s="13" t="s">
        <v>41</v>
      </c>
      <c r="Q41" s="13" t="s">
        <v>41</v>
      </c>
      <c r="R41" s="13" t="s">
        <v>41</v>
      </c>
      <c r="S41" s="13" t="s">
        <v>41</v>
      </c>
      <c r="T41" s="13" t="s">
        <v>41</v>
      </c>
      <c r="U41" s="13" t="s">
        <v>41</v>
      </c>
      <c r="V41" s="13" t="s">
        <v>41</v>
      </c>
      <c r="W41" s="13" t="s">
        <v>43</v>
      </c>
      <c r="X41" s="13" t="s">
        <v>41</v>
      </c>
      <c r="Y41" s="13" t="s">
        <v>41</v>
      </c>
      <c r="Z41" s="13" t="s">
        <v>43</v>
      </c>
      <c r="AA41" s="13" t="s">
        <v>41</v>
      </c>
      <c r="AB41" s="13" t="s">
        <v>43</v>
      </c>
      <c r="AC41" s="13" t="s">
        <v>41</v>
      </c>
      <c r="AD41" s="13" t="s">
        <v>43</v>
      </c>
      <c r="AE41" s="13" t="s">
        <v>41</v>
      </c>
      <c r="AF41" s="13" t="s">
        <v>43</v>
      </c>
      <c r="AG41" s="13" t="s">
        <v>44</v>
      </c>
    </row>
    <row r="42" spans="1:33" ht="15" customHeight="1" x14ac:dyDescent="0.3">
      <c r="A42" s="12" t="s">
        <v>152</v>
      </c>
      <c r="B42" s="12" t="s">
        <v>46</v>
      </c>
      <c r="C42" s="12" t="s">
        <v>44</v>
      </c>
      <c r="D42" s="12" t="s">
        <v>83</v>
      </c>
      <c r="E42" s="12" t="s">
        <v>66</v>
      </c>
      <c r="F42" s="12" t="s">
        <v>38</v>
      </c>
      <c r="G42" s="12" t="s">
        <v>88</v>
      </c>
      <c r="H42" s="12" t="s">
        <v>56</v>
      </c>
      <c r="I42" s="12" t="s">
        <v>43</v>
      </c>
      <c r="J42" s="12" t="s">
        <v>68</v>
      </c>
      <c r="K42" s="12" t="s">
        <v>41</v>
      </c>
      <c r="L42" s="12" t="s">
        <v>41</v>
      </c>
      <c r="M42" s="12" t="s">
        <v>41</v>
      </c>
      <c r="N42" s="12" t="s">
        <v>41</v>
      </c>
      <c r="O42" s="12" t="s">
        <v>43</v>
      </c>
      <c r="P42" s="12" t="s">
        <v>41</v>
      </c>
      <c r="Q42" s="12" t="s">
        <v>41</v>
      </c>
      <c r="R42" s="12" t="s">
        <v>41</v>
      </c>
      <c r="S42" s="12" t="s">
        <v>41</v>
      </c>
      <c r="T42" s="12" t="s">
        <v>41</v>
      </c>
      <c r="U42" s="12" t="s">
        <v>41</v>
      </c>
      <c r="V42" s="12" t="s">
        <v>41</v>
      </c>
      <c r="W42" s="12" t="s">
        <v>43</v>
      </c>
      <c r="X42" s="12" t="s">
        <v>41</v>
      </c>
      <c r="Y42" s="12" t="s">
        <v>41</v>
      </c>
      <c r="Z42" s="12" t="s">
        <v>41</v>
      </c>
      <c r="AA42" s="12" t="s">
        <v>41</v>
      </c>
      <c r="AB42" s="12" t="s">
        <v>43</v>
      </c>
      <c r="AC42" s="12" t="s">
        <v>41</v>
      </c>
      <c r="AD42" s="12" t="s">
        <v>41</v>
      </c>
      <c r="AE42" s="12" t="s">
        <v>43</v>
      </c>
      <c r="AF42" s="12" t="s">
        <v>43</v>
      </c>
      <c r="AG42" s="12" t="s">
        <v>120</v>
      </c>
    </row>
    <row r="43" spans="1:33" ht="15" customHeight="1" x14ac:dyDescent="0.3">
      <c r="A43" s="13" t="s">
        <v>153</v>
      </c>
      <c r="B43" s="13" t="s">
        <v>46</v>
      </c>
      <c r="C43" s="13" t="s">
        <v>44</v>
      </c>
      <c r="D43" s="13" t="s">
        <v>60</v>
      </c>
      <c r="E43" s="13" t="s">
        <v>96</v>
      </c>
      <c r="F43" s="13" t="s">
        <v>62</v>
      </c>
      <c r="G43" s="13" t="s">
        <v>154</v>
      </c>
      <c r="H43" s="13" t="s">
        <v>56</v>
      </c>
      <c r="I43" s="13" t="s">
        <v>43</v>
      </c>
      <c r="J43" s="13" t="s">
        <v>42</v>
      </c>
      <c r="K43" s="13" t="s">
        <v>41</v>
      </c>
      <c r="L43" s="13" t="s">
        <v>43</v>
      </c>
      <c r="M43" s="13" t="s">
        <v>41</v>
      </c>
      <c r="N43" s="13" t="s">
        <v>43</v>
      </c>
      <c r="O43" s="13" t="s">
        <v>43</v>
      </c>
      <c r="P43" s="13" t="s">
        <v>41</v>
      </c>
      <c r="Q43" s="13" t="s">
        <v>41</v>
      </c>
      <c r="R43" s="13" t="s">
        <v>41</v>
      </c>
      <c r="S43" s="13" t="s">
        <v>41</v>
      </c>
      <c r="T43" s="13" t="s">
        <v>43</v>
      </c>
      <c r="U43" s="13" t="s">
        <v>41</v>
      </c>
      <c r="V43" s="13" t="s">
        <v>41</v>
      </c>
      <c r="W43" s="13" t="s">
        <v>43</v>
      </c>
      <c r="X43" s="13" t="s">
        <v>41</v>
      </c>
      <c r="Y43" s="13" t="s">
        <v>41</v>
      </c>
      <c r="Z43" s="13" t="s">
        <v>41</v>
      </c>
      <c r="AA43" s="13" t="s">
        <v>41</v>
      </c>
      <c r="AB43" s="13" t="s">
        <v>43</v>
      </c>
      <c r="AC43" s="13" t="s">
        <v>41</v>
      </c>
      <c r="AD43" s="13" t="s">
        <v>43</v>
      </c>
      <c r="AE43" s="13" t="s">
        <v>43</v>
      </c>
      <c r="AF43" s="13" t="s">
        <v>43</v>
      </c>
      <c r="AG43" s="13" t="s">
        <v>57</v>
      </c>
    </row>
    <row r="44" spans="1:33" ht="15" customHeight="1" x14ac:dyDescent="0.3">
      <c r="A44" s="12" t="s">
        <v>155</v>
      </c>
      <c r="B44" s="12" t="s">
        <v>34</v>
      </c>
      <c r="C44" s="12" t="s">
        <v>109</v>
      </c>
      <c r="D44" s="12" t="s">
        <v>71</v>
      </c>
      <c r="E44" s="12" t="s">
        <v>66</v>
      </c>
      <c r="F44" s="12" t="s">
        <v>38</v>
      </c>
      <c r="G44" s="12" t="s">
        <v>150</v>
      </c>
      <c r="H44" s="12" t="s">
        <v>40</v>
      </c>
      <c r="I44" s="12" t="s">
        <v>41</v>
      </c>
      <c r="J44" s="12" t="s">
        <v>42</v>
      </c>
      <c r="K44" s="12" t="s">
        <v>43</v>
      </c>
      <c r="L44" s="12" t="s">
        <v>41</v>
      </c>
      <c r="M44" s="12" t="s">
        <v>43</v>
      </c>
      <c r="N44" s="12" t="s">
        <v>41</v>
      </c>
      <c r="O44" s="12" t="s">
        <v>41</v>
      </c>
      <c r="P44" s="12" t="s">
        <v>41</v>
      </c>
      <c r="Q44" s="12" t="s">
        <v>41</v>
      </c>
      <c r="R44" s="12" t="s">
        <v>41</v>
      </c>
      <c r="S44" s="12" t="s">
        <v>41</v>
      </c>
      <c r="T44" s="12" t="s">
        <v>41</v>
      </c>
      <c r="U44" s="12" t="s">
        <v>43</v>
      </c>
      <c r="V44" s="12" t="s">
        <v>41</v>
      </c>
      <c r="W44" s="12" t="s">
        <v>41</v>
      </c>
      <c r="X44" s="12" t="s">
        <v>41</v>
      </c>
      <c r="Y44" s="12" t="s">
        <v>41</v>
      </c>
      <c r="Z44" s="12" t="s">
        <v>41</v>
      </c>
      <c r="AA44" s="12" t="s">
        <v>41</v>
      </c>
      <c r="AB44" s="12" t="s">
        <v>41</v>
      </c>
      <c r="AC44" s="12" t="s">
        <v>43</v>
      </c>
      <c r="AD44" s="12" t="s">
        <v>43</v>
      </c>
      <c r="AE44" s="12" t="s">
        <v>41</v>
      </c>
      <c r="AF44" s="12" t="s">
        <v>43</v>
      </c>
      <c r="AG44" s="12" t="s">
        <v>44</v>
      </c>
    </row>
    <row r="45" spans="1:33" ht="15" customHeight="1" x14ac:dyDescent="0.3">
      <c r="A45" s="13" t="s">
        <v>156</v>
      </c>
      <c r="B45" s="13" t="s">
        <v>34</v>
      </c>
      <c r="C45" s="13" t="s">
        <v>144</v>
      </c>
      <c r="D45" s="13" t="s">
        <v>83</v>
      </c>
      <c r="E45" s="13" t="s">
        <v>123</v>
      </c>
      <c r="F45" s="13" t="s">
        <v>62</v>
      </c>
      <c r="G45" s="13" t="s">
        <v>88</v>
      </c>
      <c r="H45" s="13" t="s">
        <v>49</v>
      </c>
      <c r="I45" s="13" t="s">
        <v>41</v>
      </c>
      <c r="J45" s="13" t="s">
        <v>50</v>
      </c>
      <c r="K45" s="13" t="s">
        <v>41</v>
      </c>
      <c r="L45" s="13" t="s">
        <v>41</v>
      </c>
      <c r="M45" s="13" t="s">
        <v>43</v>
      </c>
      <c r="N45" s="13" t="s">
        <v>41</v>
      </c>
      <c r="O45" s="13" t="s">
        <v>43</v>
      </c>
      <c r="P45" s="13" t="s">
        <v>41</v>
      </c>
      <c r="Q45" s="13" t="s">
        <v>41</v>
      </c>
      <c r="R45" s="13" t="s">
        <v>43</v>
      </c>
      <c r="S45" s="13" t="s">
        <v>41</v>
      </c>
      <c r="T45" s="13" t="s">
        <v>41</v>
      </c>
      <c r="U45" s="13" t="s">
        <v>41</v>
      </c>
      <c r="V45" s="13" t="s">
        <v>41</v>
      </c>
      <c r="W45" s="13" t="s">
        <v>43</v>
      </c>
      <c r="X45" s="13" t="s">
        <v>43</v>
      </c>
      <c r="Y45" s="13" t="s">
        <v>43</v>
      </c>
      <c r="Z45" s="13" t="s">
        <v>43</v>
      </c>
      <c r="AA45" s="13" t="s">
        <v>41</v>
      </c>
      <c r="AB45" s="13" t="s">
        <v>41</v>
      </c>
      <c r="AC45" s="13" t="s">
        <v>43</v>
      </c>
      <c r="AD45" s="13" t="s">
        <v>41</v>
      </c>
      <c r="AE45" s="13" t="s">
        <v>41</v>
      </c>
      <c r="AF45" s="13" t="s">
        <v>41</v>
      </c>
      <c r="AG45" s="13" t="s">
        <v>44</v>
      </c>
    </row>
    <row r="46" spans="1:33" ht="15" customHeight="1" x14ac:dyDescent="0.3">
      <c r="A46" s="12" t="s">
        <v>157</v>
      </c>
      <c r="B46" s="12" t="s">
        <v>46</v>
      </c>
      <c r="C46" s="12" t="s">
        <v>44</v>
      </c>
      <c r="D46" s="12" t="s">
        <v>86</v>
      </c>
      <c r="E46" s="12" t="s">
        <v>66</v>
      </c>
      <c r="F46" s="12" t="s">
        <v>54</v>
      </c>
      <c r="G46" s="12" t="s">
        <v>119</v>
      </c>
      <c r="H46" s="12" t="s">
        <v>56</v>
      </c>
      <c r="I46" s="12" t="s">
        <v>43</v>
      </c>
      <c r="J46" s="12" t="s">
        <v>42</v>
      </c>
      <c r="K46" s="12" t="s">
        <v>41</v>
      </c>
      <c r="L46" s="12" t="s">
        <v>41</v>
      </c>
      <c r="M46" s="12" t="s">
        <v>41</v>
      </c>
      <c r="N46" s="12" t="s">
        <v>41</v>
      </c>
      <c r="O46" s="12" t="s">
        <v>43</v>
      </c>
      <c r="P46" s="12" t="s">
        <v>43</v>
      </c>
      <c r="Q46" s="12" t="s">
        <v>41</v>
      </c>
      <c r="R46" s="12" t="s">
        <v>41</v>
      </c>
      <c r="S46" s="12" t="s">
        <v>41</v>
      </c>
      <c r="T46" s="12" t="s">
        <v>43</v>
      </c>
      <c r="U46" s="12" t="s">
        <v>41</v>
      </c>
      <c r="V46" s="12" t="s">
        <v>41</v>
      </c>
      <c r="W46" s="12" t="s">
        <v>41</v>
      </c>
      <c r="X46" s="12" t="s">
        <v>43</v>
      </c>
      <c r="Y46" s="12" t="s">
        <v>41</v>
      </c>
      <c r="Z46" s="12" t="s">
        <v>43</v>
      </c>
      <c r="AA46" s="12" t="s">
        <v>41</v>
      </c>
      <c r="AB46" s="12" t="s">
        <v>41</v>
      </c>
      <c r="AC46" s="12" t="s">
        <v>41</v>
      </c>
      <c r="AD46" s="12" t="s">
        <v>43</v>
      </c>
      <c r="AE46" s="12" t="s">
        <v>41</v>
      </c>
      <c r="AF46" s="12" t="s">
        <v>41</v>
      </c>
      <c r="AG46" s="12" t="s">
        <v>120</v>
      </c>
    </row>
    <row r="47" spans="1:33" ht="15" customHeight="1" x14ac:dyDescent="0.3">
      <c r="A47" s="13" t="s">
        <v>158</v>
      </c>
      <c r="B47" s="13" t="s">
        <v>34</v>
      </c>
      <c r="C47" s="13" t="s">
        <v>35</v>
      </c>
      <c r="D47" s="13" t="s">
        <v>92</v>
      </c>
      <c r="E47" s="13" t="s">
        <v>159</v>
      </c>
      <c r="F47" s="13" t="s">
        <v>62</v>
      </c>
      <c r="G47" s="13" t="s">
        <v>119</v>
      </c>
      <c r="H47" s="13" t="s">
        <v>40</v>
      </c>
      <c r="I47" s="13" t="s">
        <v>41</v>
      </c>
      <c r="J47" s="13" t="s">
        <v>42</v>
      </c>
      <c r="K47" s="13" t="s">
        <v>41</v>
      </c>
      <c r="L47" s="13" t="s">
        <v>41</v>
      </c>
      <c r="M47" s="13" t="s">
        <v>41</v>
      </c>
      <c r="N47" s="13" t="s">
        <v>41</v>
      </c>
      <c r="O47" s="13" t="s">
        <v>41</v>
      </c>
      <c r="P47" s="13" t="s">
        <v>43</v>
      </c>
      <c r="Q47" s="13" t="s">
        <v>41</v>
      </c>
      <c r="R47" s="13" t="s">
        <v>43</v>
      </c>
      <c r="S47" s="13" t="s">
        <v>41</v>
      </c>
      <c r="T47" s="13" t="s">
        <v>41</v>
      </c>
      <c r="U47" s="13" t="s">
        <v>41</v>
      </c>
      <c r="V47" s="13" t="s">
        <v>41</v>
      </c>
      <c r="W47" s="13" t="s">
        <v>41</v>
      </c>
      <c r="X47" s="13" t="s">
        <v>41</v>
      </c>
      <c r="Y47" s="13" t="s">
        <v>41</v>
      </c>
      <c r="Z47" s="13" t="s">
        <v>41</v>
      </c>
      <c r="AA47" s="13" t="s">
        <v>41</v>
      </c>
      <c r="AB47" s="13" t="s">
        <v>43</v>
      </c>
      <c r="AC47" s="13" t="s">
        <v>41</v>
      </c>
      <c r="AD47" s="13" t="s">
        <v>43</v>
      </c>
      <c r="AE47" s="13" t="s">
        <v>41</v>
      </c>
      <c r="AF47" s="13" t="s">
        <v>43</v>
      </c>
      <c r="AG47" s="13" t="s">
        <v>44</v>
      </c>
    </row>
    <row r="48" spans="1:33" ht="15" customHeight="1" x14ac:dyDescent="0.3">
      <c r="A48" s="12" t="s">
        <v>160</v>
      </c>
      <c r="B48" s="12" t="s">
        <v>46</v>
      </c>
      <c r="C48" s="12" t="s">
        <v>44</v>
      </c>
      <c r="D48" s="12" t="s">
        <v>100</v>
      </c>
      <c r="E48" s="12" t="s">
        <v>161</v>
      </c>
      <c r="F48" s="12" t="s">
        <v>38</v>
      </c>
      <c r="G48" s="12" t="s">
        <v>79</v>
      </c>
      <c r="H48" s="12" t="s">
        <v>49</v>
      </c>
      <c r="I48" s="12" t="s">
        <v>41</v>
      </c>
      <c r="J48" s="12" t="s">
        <v>68</v>
      </c>
      <c r="K48" s="12" t="s">
        <v>41</v>
      </c>
      <c r="L48" s="12" t="s">
        <v>41</v>
      </c>
      <c r="M48" s="12" t="s">
        <v>43</v>
      </c>
      <c r="N48" s="12" t="s">
        <v>41</v>
      </c>
      <c r="O48" s="12" t="s">
        <v>41</v>
      </c>
      <c r="P48" s="12" t="s">
        <v>41</v>
      </c>
      <c r="Q48" s="12" t="s">
        <v>41</v>
      </c>
      <c r="R48" s="12" t="s">
        <v>41</v>
      </c>
      <c r="S48" s="12" t="s">
        <v>41</v>
      </c>
      <c r="T48" s="12" t="s">
        <v>41</v>
      </c>
      <c r="U48" s="12" t="s">
        <v>41</v>
      </c>
      <c r="V48" s="12" t="s">
        <v>41</v>
      </c>
      <c r="W48" s="12" t="s">
        <v>41</v>
      </c>
      <c r="X48" s="12" t="s">
        <v>41</v>
      </c>
      <c r="Y48" s="12" t="s">
        <v>41</v>
      </c>
      <c r="Z48" s="12" t="s">
        <v>41</v>
      </c>
      <c r="AA48" s="12" t="s">
        <v>41</v>
      </c>
      <c r="AB48" s="12" t="s">
        <v>43</v>
      </c>
      <c r="AC48" s="12" t="s">
        <v>41</v>
      </c>
      <c r="AD48" s="12" t="s">
        <v>41</v>
      </c>
      <c r="AE48" s="12" t="s">
        <v>41</v>
      </c>
      <c r="AF48" s="12" t="s">
        <v>43</v>
      </c>
      <c r="AG48" s="12" t="s">
        <v>44</v>
      </c>
    </row>
    <row r="49" spans="1:33" ht="15" customHeight="1" x14ac:dyDescent="0.3">
      <c r="A49" s="13" t="s">
        <v>162</v>
      </c>
      <c r="B49" s="13" t="s">
        <v>46</v>
      </c>
      <c r="C49" s="13" t="s">
        <v>44</v>
      </c>
      <c r="D49" s="13" t="s">
        <v>71</v>
      </c>
      <c r="E49" s="13" t="s">
        <v>87</v>
      </c>
      <c r="F49" s="13" t="s">
        <v>38</v>
      </c>
      <c r="G49" s="13" t="s">
        <v>154</v>
      </c>
      <c r="H49" s="13" t="s">
        <v>49</v>
      </c>
      <c r="I49" s="13" t="s">
        <v>43</v>
      </c>
      <c r="J49" s="13" t="s">
        <v>50</v>
      </c>
      <c r="K49" s="13" t="s">
        <v>43</v>
      </c>
      <c r="L49" s="13" t="s">
        <v>41</v>
      </c>
      <c r="M49" s="13" t="s">
        <v>43</v>
      </c>
      <c r="N49" s="13" t="s">
        <v>41</v>
      </c>
      <c r="O49" s="13" t="s">
        <v>41</v>
      </c>
      <c r="P49" s="13" t="s">
        <v>41</v>
      </c>
      <c r="Q49" s="13" t="s">
        <v>43</v>
      </c>
      <c r="R49" s="13" t="s">
        <v>41</v>
      </c>
      <c r="S49" s="13" t="s">
        <v>41</v>
      </c>
      <c r="T49" s="13" t="s">
        <v>43</v>
      </c>
      <c r="U49" s="13" t="s">
        <v>41</v>
      </c>
      <c r="V49" s="13" t="s">
        <v>41</v>
      </c>
      <c r="W49" s="13" t="s">
        <v>41</v>
      </c>
      <c r="X49" s="13" t="s">
        <v>41</v>
      </c>
      <c r="Y49" s="13" t="s">
        <v>41</v>
      </c>
      <c r="Z49" s="13" t="s">
        <v>43</v>
      </c>
      <c r="AA49" s="13" t="s">
        <v>41</v>
      </c>
      <c r="AB49" s="13" t="s">
        <v>43</v>
      </c>
      <c r="AC49" s="13" t="s">
        <v>41</v>
      </c>
      <c r="AD49" s="13" t="s">
        <v>41</v>
      </c>
      <c r="AE49" s="13" t="s">
        <v>43</v>
      </c>
      <c r="AF49" s="13" t="s">
        <v>43</v>
      </c>
      <c r="AG49" s="13" t="s">
        <v>44</v>
      </c>
    </row>
    <row r="50" spans="1:33" ht="15" customHeight="1" x14ac:dyDescent="0.3">
      <c r="A50" s="12" t="s">
        <v>163</v>
      </c>
      <c r="B50" s="12" t="s">
        <v>46</v>
      </c>
      <c r="C50" s="12" t="s">
        <v>44</v>
      </c>
      <c r="D50" s="12" t="s">
        <v>92</v>
      </c>
      <c r="E50" s="12" t="s">
        <v>61</v>
      </c>
      <c r="F50" s="12" t="s">
        <v>54</v>
      </c>
      <c r="G50" s="12" t="s">
        <v>55</v>
      </c>
      <c r="H50" s="12" t="s">
        <v>56</v>
      </c>
      <c r="I50" s="12" t="s">
        <v>43</v>
      </c>
      <c r="J50" s="12" t="s">
        <v>42</v>
      </c>
      <c r="K50" s="12" t="s">
        <v>41</v>
      </c>
      <c r="L50" s="12" t="s">
        <v>43</v>
      </c>
      <c r="M50" s="12" t="s">
        <v>41</v>
      </c>
      <c r="N50" s="12" t="s">
        <v>41</v>
      </c>
      <c r="O50" s="12" t="s">
        <v>41</v>
      </c>
      <c r="P50" s="12" t="s">
        <v>41</v>
      </c>
      <c r="Q50" s="12" t="s">
        <v>41</v>
      </c>
      <c r="R50" s="12" t="s">
        <v>41</v>
      </c>
      <c r="S50" s="12" t="s">
        <v>41</v>
      </c>
      <c r="T50" s="12" t="s">
        <v>43</v>
      </c>
      <c r="U50" s="12" t="s">
        <v>41</v>
      </c>
      <c r="V50" s="12" t="s">
        <v>41</v>
      </c>
      <c r="W50" s="12" t="s">
        <v>41</v>
      </c>
      <c r="X50" s="12" t="s">
        <v>43</v>
      </c>
      <c r="Y50" s="12" t="s">
        <v>41</v>
      </c>
      <c r="Z50" s="12" t="s">
        <v>41</v>
      </c>
      <c r="AA50" s="12" t="s">
        <v>41</v>
      </c>
      <c r="AB50" s="12" t="s">
        <v>41</v>
      </c>
      <c r="AC50" s="12" t="s">
        <v>43</v>
      </c>
      <c r="AD50" s="12" t="s">
        <v>43</v>
      </c>
      <c r="AE50" s="12" t="s">
        <v>43</v>
      </c>
      <c r="AF50" s="12" t="s">
        <v>43</v>
      </c>
      <c r="AG50" s="12" t="s">
        <v>57</v>
      </c>
    </row>
    <row r="51" spans="1:33" ht="15" customHeight="1" x14ac:dyDescent="0.3">
      <c r="A51" s="13" t="s">
        <v>164</v>
      </c>
      <c r="B51" s="13" t="s">
        <v>46</v>
      </c>
      <c r="C51" s="13" t="s">
        <v>44</v>
      </c>
      <c r="D51" s="13" t="s">
        <v>65</v>
      </c>
      <c r="E51" s="13" t="s">
        <v>165</v>
      </c>
      <c r="F51" s="13" t="s">
        <v>62</v>
      </c>
      <c r="G51" s="13" t="s">
        <v>146</v>
      </c>
      <c r="H51" s="13" t="s">
        <v>56</v>
      </c>
      <c r="I51" s="13" t="s">
        <v>43</v>
      </c>
      <c r="J51" s="13" t="s">
        <v>50</v>
      </c>
      <c r="K51" s="13" t="s">
        <v>41</v>
      </c>
      <c r="L51" s="13" t="s">
        <v>41</v>
      </c>
      <c r="M51" s="13" t="s">
        <v>43</v>
      </c>
      <c r="N51" s="13" t="s">
        <v>43</v>
      </c>
      <c r="O51" s="13" t="s">
        <v>41</v>
      </c>
      <c r="P51" s="13" t="s">
        <v>43</v>
      </c>
      <c r="Q51" s="13" t="s">
        <v>41</v>
      </c>
      <c r="R51" s="13" t="s">
        <v>41</v>
      </c>
      <c r="S51" s="13" t="s">
        <v>43</v>
      </c>
      <c r="T51" s="13" t="s">
        <v>41</v>
      </c>
      <c r="U51" s="13" t="s">
        <v>41</v>
      </c>
      <c r="V51" s="13" t="s">
        <v>41</v>
      </c>
      <c r="W51" s="13" t="s">
        <v>41</v>
      </c>
      <c r="X51" s="13" t="s">
        <v>43</v>
      </c>
      <c r="Y51" s="13" t="s">
        <v>43</v>
      </c>
      <c r="Z51" s="13" t="s">
        <v>41</v>
      </c>
      <c r="AA51" s="13" t="s">
        <v>41</v>
      </c>
      <c r="AB51" s="13" t="s">
        <v>43</v>
      </c>
      <c r="AC51" s="13" t="s">
        <v>41</v>
      </c>
      <c r="AD51" s="13" t="s">
        <v>41</v>
      </c>
      <c r="AE51" s="13" t="s">
        <v>41</v>
      </c>
      <c r="AF51" s="13" t="s">
        <v>43</v>
      </c>
      <c r="AG51" s="13" t="s">
        <v>120</v>
      </c>
    </row>
    <row r="52" spans="1:33" ht="15" customHeight="1" x14ac:dyDescent="0.3">
      <c r="A52" s="12" t="s">
        <v>166</v>
      </c>
      <c r="B52" s="12" t="s">
        <v>46</v>
      </c>
      <c r="C52" s="12" t="s">
        <v>44</v>
      </c>
      <c r="D52" s="12" t="s">
        <v>36</v>
      </c>
      <c r="E52" s="12" t="s">
        <v>87</v>
      </c>
      <c r="F52" s="12" t="s">
        <v>62</v>
      </c>
      <c r="G52" s="12" t="s">
        <v>111</v>
      </c>
      <c r="H52" s="12" t="s">
        <v>56</v>
      </c>
      <c r="I52" s="12" t="s">
        <v>43</v>
      </c>
      <c r="J52" s="12" t="s">
        <v>42</v>
      </c>
      <c r="K52" s="12" t="s">
        <v>41</v>
      </c>
      <c r="L52" s="12" t="s">
        <v>41</v>
      </c>
      <c r="M52" s="12" t="s">
        <v>43</v>
      </c>
      <c r="N52" s="12" t="s">
        <v>43</v>
      </c>
      <c r="O52" s="12" t="s">
        <v>43</v>
      </c>
      <c r="P52" s="12" t="s">
        <v>41</v>
      </c>
      <c r="Q52" s="12" t="s">
        <v>41</v>
      </c>
      <c r="R52" s="12" t="s">
        <v>43</v>
      </c>
      <c r="S52" s="12" t="s">
        <v>41</v>
      </c>
      <c r="T52" s="12" t="s">
        <v>41</v>
      </c>
      <c r="U52" s="12" t="s">
        <v>41</v>
      </c>
      <c r="V52" s="12" t="s">
        <v>41</v>
      </c>
      <c r="W52" s="12" t="s">
        <v>41</v>
      </c>
      <c r="X52" s="12" t="s">
        <v>41</v>
      </c>
      <c r="Y52" s="12" t="s">
        <v>43</v>
      </c>
      <c r="Z52" s="12" t="s">
        <v>43</v>
      </c>
      <c r="AA52" s="12" t="s">
        <v>41</v>
      </c>
      <c r="AB52" s="12" t="s">
        <v>43</v>
      </c>
      <c r="AC52" s="12" t="s">
        <v>43</v>
      </c>
      <c r="AD52" s="12" t="s">
        <v>43</v>
      </c>
      <c r="AE52" s="12" t="s">
        <v>41</v>
      </c>
      <c r="AF52" s="12" t="s">
        <v>41</v>
      </c>
      <c r="AG52" s="12" t="s">
        <v>57</v>
      </c>
    </row>
    <row r="53" spans="1:33" ht="15" customHeight="1" x14ac:dyDescent="0.3">
      <c r="A53" s="13" t="s">
        <v>167</v>
      </c>
      <c r="B53" s="13" t="s">
        <v>46</v>
      </c>
      <c r="C53" s="13" t="s">
        <v>44</v>
      </c>
      <c r="D53" s="13" t="s">
        <v>65</v>
      </c>
      <c r="E53" s="13" t="s">
        <v>168</v>
      </c>
      <c r="F53" s="13" t="s">
        <v>54</v>
      </c>
      <c r="G53" s="13" t="s">
        <v>111</v>
      </c>
      <c r="H53" s="13" t="s">
        <v>49</v>
      </c>
      <c r="I53" s="13" t="s">
        <v>41</v>
      </c>
      <c r="J53" s="13" t="s">
        <v>42</v>
      </c>
      <c r="K53" s="13" t="s">
        <v>41</v>
      </c>
      <c r="L53" s="13" t="s">
        <v>41</v>
      </c>
      <c r="M53" s="13" t="s">
        <v>41</v>
      </c>
      <c r="N53" s="13" t="s">
        <v>43</v>
      </c>
      <c r="O53" s="13" t="s">
        <v>41</v>
      </c>
      <c r="P53" s="13" t="s">
        <v>43</v>
      </c>
      <c r="Q53" s="13" t="s">
        <v>41</v>
      </c>
      <c r="R53" s="13" t="s">
        <v>41</v>
      </c>
      <c r="S53" s="13" t="s">
        <v>41</v>
      </c>
      <c r="T53" s="13" t="s">
        <v>41</v>
      </c>
      <c r="U53" s="13" t="s">
        <v>41</v>
      </c>
      <c r="V53" s="13" t="s">
        <v>43</v>
      </c>
      <c r="W53" s="13" t="s">
        <v>41</v>
      </c>
      <c r="X53" s="13" t="s">
        <v>41</v>
      </c>
      <c r="Y53" s="13" t="s">
        <v>43</v>
      </c>
      <c r="Z53" s="13" t="s">
        <v>41</v>
      </c>
      <c r="AA53" s="13" t="s">
        <v>41</v>
      </c>
      <c r="AB53" s="13" t="s">
        <v>41</v>
      </c>
      <c r="AC53" s="13" t="s">
        <v>41</v>
      </c>
      <c r="AD53" s="13" t="s">
        <v>43</v>
      </c>
      <c r="AE53" s="13" t="s">
        <v>43</v>
      </c>
      <c r="AF53" s="13" t="s">
        <v>41</v>
      </c>
      <c r="AG53" s="13" t="s">
        <v>44</v>
      </c>
    </row>
    <row r="54" spans="1:33" ht="15" customHeight="1" x14ac:dyDescent="0.3">
      <c r="A54" s="12" t="s">
        <v>169</v>
      </c>
      <c r="B54" s="12" t="s">
        <v>46</v>
      </c>
      <c r="C54" s="12" t="s">
        <v>44</v>
      </c>
      <c r="D54" s="12" t="s">
        <v>36</v>
      </c>
      <c r="E54" s="12" t="s">
        <v>170</v>
      </c>
      <c r="F54" s="12" t="s">
        <v>38</v>
      </c>
      <c r="G54" s="12" t="s">
        <v>88</v>
      </c>
      <c r="H54" s="12" t="s">
        <v>56</v>
      </c>
      <c r="I54" s="12" t="s">
        <v>43</v>
      </c>
      <c r="J54" s="12" t="s">
        <v>50</v>
      </c>
      <c r="K54" s="12" t="s">
        <v>41</v>
      </c>
      <c r="L54" s="12" t="s">
        <v>41</v>
      </c>
      <c r="M54" s="12" t="s">
        <v>41</v>
      </c>
      <c r="N54" s="12" t="s">
        <v>41</v>
      </c>
      <c r="O54" s="12" t="s">
        <v>43</v>
      </c>
      <c r="P54" s="12" t="s">
        <v>41</v>
      </c>
      <c r="Q54" s="12" t="s">
        <v>41</v>
      </c>
      <c r="R54" s="12" t="s">
        <v>41</v>
      </c>
      <c r="S54" s="12" t="s">
        <v>43</v>
      </c>
      <c r="T54" s="12" t="s">
        <v>41</v>
      </c>
      <c r="U54" s="12" t="s">
        <v>41</v>
      </c>
      <c r="V54" s="12" t="s">
        <v>41</v>
      </c>
      <c r="W54" s="12" t="s">
        <v>41</v>
      </c>
      <c r="X54" s="12" t="s">
        <v>41</v>
      </c>
      <c r="Y54" s="12" t="s">
        <v>41</v>
      </c>
      <c r="Z54" s="12" t="s">
        <v>41</v>
      </c>
      <c r="AA54" s="12" t="s">
        <v>41</v>
      </c>
      <c r="AB54" s="12" t="s">
        <v>43</v>
      </c>
      <c r="AC54" s="12" t="s">
        <v>41</v>
      </c>
      <c r="AD54" s="12" t="s">
        <v>41</v>
      </c>
      <c r="AE54" s="12" t="s">
        <v>41</v>
      </c>
      <c r="AF54" s="12" t="s">
        <v>41</v>
      </c>
      <c r="AG54" s="12" t="s">
        <v>120</v>
      </c>
    </row>
    <row r="55" spans="1:33" ht="15" customHeight="1" x14ac:dyDescent="0.3">
      <c r="A55" s="13" t="s">
        <v>171</v>
      </c>
      <c r="B55" s="13" t="s">
        <v>46</v>
      </c>
      <c r="C55" s="13" t="s">
        <v>44</v>
      </c>
      <c r="D55" s="13" t="s">
        <v>83</v>
      </c>
      <c r="E55" s="13" t="s">
        <v>75</v>
      </c>
      <c r="F55" s="13" t="s">
        <v>54</v>
      </c>
      <c r="G55" s="13" t="s">
        <v>114</v>
      </c>
      <c r="H55" s="13" t="s">
        <v>49</v>
      </c>
      <c r="I55" s="13" t="s">
        <v>41</v>
      </c>
      <c r="J55" s="13" t="s">
        <v>42</v>
      </c>
      <c r="K55" s="13" t="s">
        <v>41</v>
      </c>
      <c r="L55" s="13" t="s">
        <v>43</v>
      </c>
      <c r="M55" s="13" t="s">
        <v>41</v>
      </c>
      <c r="N55" s="13" t="s">
        <v>41</v>
      </c>
      <c r="O55" s="13" t="s">
        <v>41</v>
      </c>
      <c r="P55" s="13" t="s">
        <v>41</v>
      </c>
      <c r="Q55" s="13" t="s">
        <v>41</v>
      </c>
      <c r="R55" s="13" t="s">
        <v>41</v>
      </c>
      <c r="S55" s="13" t="s">
        <v>43</v>
      </c>
      <c r="T55" s="13" t="s">
        <v>41</v>
      </c>
      <c r="U55" s="13" t="s">
        <v>41</v>
      </c>
      <c r="V55" s="13" t="s">
        <v>41</v>
      </c>
      <c r="W55" s="13" t="s">
        <v>41</v>
      </c>
      <c r="X55" s="13" t="s">
        <v>41</v>
      </c>
      <c r="Y55" s="13" t="s">
        <v>41</v>
      </c>
      <c r="Z55" s="13" t="s">
        <v>43</v>
      </c>
      <c r="AA55" s="13" t="s">
        <v>41</v>
      </c>
      <c r="AB55" s="13" t="s">
        <v>43</v>
      </c>
      <c r="AC55" s="13" t="s">
        <v>41</v>
      </c>
      <c r="AD55" s="13" t="s">
        <v>43</v>
      </c>
      <c r="AE55" s="13" t="s">
        <v>41</v>
      </c>
      <c r="AF55" s="13" t="s">
        <v>41</v>
      </c>
      <c r="AG55" s="13" t="s">
        <v>44</v>
      </c>
    </row>
    <row r="56" spans="1:33" ht="15" customHeight="1" x14ac:dyDescent="0.3">
      <c r="A56" s="12" t="s">
        <v>172</v>
      </c>
      <c r="B56" s="12" t="s">
        <v>46</v>
      </c>
      <c r="C56" s="12" t="s">
        <v>44</v>
      </c>
      <c r="D56" s="12" t="s">
        <v>86</v>
      </c>
      <c r="E56" s="12" t="s">
        <v>138</v>
      </c>
      <c r="F56" s="12" t="s">
        <v>62</v>
      </c>
      <c r="G56" s="12" t="s">
        <v>104</v>
      </c>
      <c r="H56" s="12" t="s">
        <v>40</v>
      </c>
      <c r="I56" s="12" t="s">
        <v>43</v>
      </c>
      <c r="J56" s="12" t="s">
        <v>42</v>
      </c>
      <c r="K56" s="12" t="s">
        <v>41</v>
      </c>
      <c r="L56" s="12" t="s">
        <v>41</v>
      </c>
      <c r="M56" s="12" t="s">
        <v>43</v>
      </c>
      <c r="N56" s="12" t="s">
        <v>43</v>
      </c>
      <c r="O56" s="12" t="s">
        <v>41</v>
      </c>
      <c r="P56" s="12" t="s">
        <v>41</v>
      </c>
      <c r="Q56" s="12" t="s">
        <v>41</v>
      </c>
      <c r="R56" s="12" t="s">
        <v>43</v>
      </c>
      <c r="S56" s="12" t="s">
        <v>41</v>
      </c>
      <c r="T56" s="12" t="s">
        <v>41</v>
      </c>
      <c r="U56" s="12" t="s">
        <v>41</v>
      </c>
      <c r="V56" s="12" t="s">
        <v>41</v>
      </c>
      <c r="W56" s="12" t="s">
        <v>41</v>
      </c>
      <c r="X56" s="12" t="s">
        <v>43</v>
      </c>
      <c r="Y56" s="12" t="s">
        <v>43</v>
      </c>
      <c r="Z56" s="12" t="s">
        <v>41</v>
      </c>
      <c r="AA56" s="12" t="s">
        <v>41</v>
      </c>
      <c r="AB56" s="12" t="s">
        <v>43</v>
      </c>
      <c r="AC56" s="12" t="s">
        <v>41</v>
      </c>
      <c r="AD56" s="12" t="s">
        <v>43</v>
      </c>
      <c r="AE56" s="12" t="s">
        <v>41</v>
      </c>
      <c r="AF56" s="12" t="s">
        <v>43</v>
      </c>
      <c r="AG56" s="12" t="s">
        <v>44</v>
      </c>
    </row>
    <row r="57" spans="1:33" ht="15" customHeight="1" x14ac:dyDescent="0.3">
      <c r="A57" s="13" t="s">
        <v>173</v>
      </c>
      <c r="B57" s="13" t="s">
        <v>34</v>
      </c>
      <c r="C57" s="13" t="s">
        <v>129</v>
      </c>
      <c r="D57" s="13" t="s">
        <v>92</v>
      </c>
      <c r="E57" s="13" t="s">
        <v>170</v>
      </c>
      <c r="F57" s="13" t="s">
        <v>38</v>
      </c>
      <c r="G57" s="13" t="s">
        <v>79</v>
      </c>
      <c r="H57" s="13" t="s">
        <v>40</v>
      </c>
      <c r="I57" s="13" t="s">
        <v>43</v>
      </c>
      <c r="J57" s="13" t="s">
        <v>42</v>
      </c>
      <c r="K57" s="13" t="s">
        <v>41</v>
      </c>
      <c r="L57" s="13" t="s">
        <v>41</v>
      </c>
      <c r="M57" s="13" t="s">
        <v>41</v>
      </c>
      <c r="N57" s="13" t="s">
        <v>41</v>
      </c>
      <c r="O57" s="13" t="s">
        <v>41</v>
      </c>
      <c r="P57" s="13" t="s">
        <v>41</v>
      </c>
      <c r="Q57" s="13" t="s">
        <v>41</v>
      </c>
      <c r="R57" s="13" t="s">
        <v>41</v>
      </c>
      <c r="S57" s="13" t="s">
        <v>41</v>
      </c>
      <c r="T57" s="13" t="s">
        <v>43</v>
      </c>
      <c r="U57" s="13" t="s">
        <v>41</v>
      </c>
      <c r="V57" s="13" t="s">
        <v>41</v>
      </c>
      <c r="W57" s="13" t="s">
        <v>43</v>
      </c>
      <c r="X57" s="13" t="s">
        <v>41</v>
      </c>
      <c r="Y57" s="13" t="s">
        <v>43</v>
      </c>
      <c r="Z57" s="13" t="s">
        <v>41</v>
      </c>
      <c r="AA57" s="13" t="s">
        <v>41</v>
      </c>
      <c r="AB57" s="13" t="s">
        <v>43</v>
      </c>
      <c r="AC57" s="13" t="s">
        <v>41</v>
      </c>
      <c r="AD57" s="13" t="s">
        <v>43</v>
      </c>
      <c r="AE57" s="13" t="s">
        <v>41</v>
      </c>
      <c r="AF57" s="13" t="s">
        <v>41</v>
      </c>
      <c r="AG57" s="13" t="s">
        <v>44</v>
      </c>
    </row>
    <row r="58" spans="1:33" ht="15" customHeight="1" x14ac:dyDescent="0.3">
      <c r="A58" s="12" t="s">
        <v>174</v>
      </c>
      <c r="B58" s="12" t="s">
        <v>46</v>
      </c>
      <c r="C58" s="12" t="s">
        <v>44</v>
      </c>
      <c r="D58" s="12" t="s">
        <v>65</v>
      </c>
      <c r="E58" s="12" t="s">
        <v>175</v>
      </c>
      <c r="F58" s="12" t="s">
        <v>54</v>
      </c>
      <c r="G58" s="12" t="s">
        <v>146</v>
      </c>
      <c r="H58" s="12" t="s">
        <v>40</v>
      </c>
      <c r="I58" s="12" t="s">
        <v>41</v>
      </c>
      <c r="J58" s="12" t="s">
        <v>42</v>
      </c>
      <c r="K58" s="12" t="s">
        <v>41</v>
      </c>
      <c r="L58" s="12" t="s">
        <v>41</v>
      </c>
      <c r="M58" s="12" t="s">
        <v>41</v>
      </c>
      <c r="N58" s="12" t="s">
        <v>41</v>
      </c>
      <c r="O58" s="12" t="s">
        <v>43</v>
      </c>
      <c r="P58" s="12" t="s">
        <v>43</v>
      </c>
      <c r="Q58" s="12" t="s">
        <v>43</v>
      </c>
      <c r="R58" s="12" t="s">
        <v>41</v>
      </c>
      <c r="S58" s="12" t="s">
        <v>41</v>
      </c>
      <c r="T58" s="12" t="s">
        <v>43</v>
      </c>
      <c r="U58" s="12" t="s">
        <v>41</v>
      </c>
      <c r="V58" s="12" t="s">
        <v>41</v>
      </c>
      <c r="W58" s="12" t="s">
        <v>41</v>
      </c>
      <c r="X58" s="12" t="s">
        <v>41</v>
      </c>
      <c r="Y58" s="12" t="s">
        <v>43</v>
      </c>
      <c r="Z58" s="12" t="s">
        <v>41</v>
      </c>
      <c r="AA58" s="12" t="s">
        <v>41</v>
      </c>
      <c r="AB58" s="12" t="s">
        <v>41</v>
      </c>
      <c r="AC58" s="12" t="s">
        <v>43</v>
      </c>
      <c r="AD58" s="12" t="s">
        <v>43</v>
      </c>
      <c r="AE58" s="12" t="s">
        <v>43</v>
      </c>
      <c r="AF58" s="12" t="s">
        <v>41</v>
      </c>
      <c r="AG58" s="12" t="s">
        <v>44</v>
      </c>
    </row>
    <row r="59" spans="1:33" ht="15" customHeight="1" x14ac:dyDescent="0.3">
      <c r="A59" s="13" t="s">
        <v>176</v>
      </c>
      <c r="B59" s="13" t="s">
        <v>46</v>
      </c>
      <c r="C59" s="13" t="s">
        <v>44</v>
      </c>
      <c r="D59" s="13" t="s">
        <v>65</v>
      </c>
      <c r="E59" s="13" t="s">
        <v>90</v>
      </c>
      <c r="F59" s="13" t="s">
        <v>38</v>
      </c>
      <c r="G59" s="13" t="s">
        <v>146</v>
      </c>
      <c r="H59" s="13" t="s">
        <v>49</v>
      </c>
      <c r="I59" s="13" t="s">
        <v>41</v>
      </c>
      <c r="J59" s="13" t="s">
        <v>42</v>
      </c>
      <c r="K59" s="13" t="s">
        <v>43</v>
      </c>
      <c r="L59" s="13" t="s">
        <v>41</v>
      </c>
      <c r="M59" s="13" t="s">
        <v>41</v>
      </c>
      <c r="N59" s="13" t="s">
        <v>41</v>
      </c>
      <c r="O59" s="13" t="s">
        <v>43</v>
      </c>
      <c r="P59" s="13" t="s">
        <v>41</v>
      </c>
      <c r="Q59" s="13" t="s">
        <v>41</v>
      </c>
      <c r="R59" s="13" t="s">
        <v>41</v>
      </c>
      <c r="S59" s="13" t="s">
        <v>41</v>
      </c>
      <c r="T59" s="13" t="s">
        <v>41</v>
      </c>
      <c r="U59" s="13" t="s">
        <v>41</v>
      </c>
      <c r="V59" s="13" t="s">
        <v>41</v>
      </c>
      <c r="W59" s="13" t="s">
        <v>41</v>
      </c>
      <c r="X59" s="13" t="s">
        <v>43</v>
      </c>
      <c r="Y59" s="13" t="s">
        <v>43</v>
      </c>
      <c r="Z59" s="13" t="s">
        <v>41</v>
      </c>
      <c r="AA59" s="13" t="s">
        <v>41</v>
      </c>
      <c r="AB59" s="13" t="s">
        <v>41</v>
      </c>
      <c r="AC59" s="13" t="s">
        <v>41</v>
      </c>
      <c r="AD59" s="13" t="s">
        <v>43</v>
      </c>
      <c r="AE59" s="13" t="s">
        <v>41</v>
      </c>
      <c r="AF59" s="13" t="s">
        <v>43</v>
      </c>
      <c r="AG59" s="13" t="s">
        <v>44</v>
      </c>
    </row>
    <row r="60" spans="1:33" ht="15" customHeight="1" x14ac:dyDescent="0.3">
      <c r="A60" s="12" t="s">
        <v>177</v>
      </c>
      <c r="B60" s="12" t="s">
        <v>34</v>
      </c>
      <c r="C60" s="12" t="s">
        <v>144</v>
      </c>
      <c r="D60" s="12" t="s">
        <v>125</v>
      </c>
      <c r="E60" s="12" t="s">
        <v>96</v>
      </c>
      <c r="F60" s="12" t="s">
        <v>54</v>
      </c>
      <c r="G60" s="12" t="s">
        <v>154</v>
      </c>
      <c r="H60" s="12" t="s">
        <v>56</v>
      </c>
      <c r="I60" s="12" t="s">
        <v>43</v>
      </c>
      <c r="J60" s="12" t="s">
        <v>42</v>
      </c>
      <c r="K60" s="12" t="s">
        <v>41</v>
      </c>
      <c r="L60" s="12" t="s">
        <v>41</v>
      </c>
      <c r="M60" s="12" t="s">
        <v>43</v>
      </c>
      <c r="N60" s="12" t="s">
        <v>41</v>
      </c>
      <c r="O60" s="12" t="s">
        <v>41</v>
      </c>
      <c r="P60" s="12" t="s">
        <v>43</v>
      </c>
      <c r="Q60" s="12" t="s">
        <v>43</v>
      </c>
      <c r="R60" s="12" t="s">
        <v>41</v>
      </c>
      <c r="S60" s="12" t="s">
        <v>41</v>
      </c>
      <c r="T60" s="12" t="s">
        <v>41</v>
      </c>
      <c r="U60" s="12" t="s">
        <v>41</v>
      </c>
      <c r="V60" s="12" t="s">
        <v>41</v>
      </c>
      <c r="W60" s="12" t="s">
        <v>41</v>
      </c>
      <c r="X60" s="12" t="s">
        <v>41</v>
      </c>
      <c r="Y60" s="12" t="s">
        <v>43</v>
      </c>
      <c r="Z60" s="12" t="s">
        <v>41</v>
      </c>
      <c r="AA60" s="12" t="s">
        <v>41</v>
      </c>
      <c r="AB60" s="12" t="s">
        <v>41</v>
      </c>
      <c r="AC60" s="12" t="s">
        <v>43</v>
      </c>
      <c r="AD60" s="12" t="s">
        <v>43</v>
      </c>
      <c r="AE60" s="12" t="s">
        <v>43</v>
      </c>
      <c r="AF60" s="12" t="s">
        <v>41</v>
      </c>
      <c r="AG60" s="12" t="s">
        <v>57</v>
      </c>
    </row>
    <row r="61" spans="1:33" ht="15" customHeight="1" x14ac:dyDescent="0.3">
      <c r="A61" s="13" t="s">
        <v>178</v>
      </c>
      <c r="B61" s="13" t="s">
        <v>34</v>
      </c>
      <c r="C61" s="13" t="s">
        <v>59</v>
      </c>
      <c r="D61" s="13" t="s">
        <v>52</v>
      </c>
      <c r="E61" s="13" t="s">
        <v>140</v>
      </c>
      <c r="F61" s="13" t="s">
        <v>62</v>
      </c>
      <c r="G61" s="13" t="s">
        <v>79</v>
      </c>
      <c r="H61" s="13" t="s">
        <v>49</v>
      </c>
      <c r="I61" s="13" t="s">
        <v>41</v>
      </c>
      <c r="J61" s="13" t="s">
        <v>50</v>
      </c>
      <c r="K61" s="13" t="s">
        <v>41</v>
      </c>
      <c r="L61" s="13" t="s">
        <v>41</v>
      </c>
      <c r="M61" s="13" t="s">
        <v>41</v>
      </c>
      <c r="N61" s="13" t="s">
        <v>41</v>
      </c>
      <c r="O61" s="13" t="s">
        <v>41</v>
      </c>
      <c r="P61" s="13" t="s">
        <v>43</v>
      </c>
      <c r="Q61" s="13" t="s">
        <v>41</v>
      </c>
      <c r="R61" s="13" t="s">
        <v>41</v>
      </c>
      <c r="S61" s="13" t="s">
        <v>41</v>
      </c>
      <c r="T61" s="13" t="s">
        <v>43</v>
      </c>
      <c r="U61" s="13" t="s">
        <v>41</v>
      </c>
      <c r="V61" s="13" t="s">
        <v>43</v>
      </c>
      <c r="W61" s="13" t="s">
        <v>41</v>
      </c>
      <c r="X61" s="13" t="s">
        <v>41</v>
      </c>
      <c r="Y61" s="13" t="s">
        <v>41</v>
      </c>
      <c r="Z61" s="13" t="s">
        <v>41</v>
      </c>
      <c r="AA61" s="13" t="s">
        <v>41</v>
      </c>
      <c r="AB61" s="13" t="s">
        <v>41</v>
      </c>
      <c r="AC61" s="13" t="s">
        <v>41</v>
      </c>
      <c r="AD61" s="13" t="s">
        <v>41</v>
      </c>
      <c r="AE61" s="13" t="s">
        <v>41</v>
      </c>
      <c r="AF61" s="13" t="s">
        <v>41</v>
      </c>
      <c r="AG61" s="13" t="s">
        <v>44</v>
      </c>
    </row>
    <row r="62" spans="1:33" ht="15" customHeight="1" x14ac:dyDescent="0.3">
      <c r="A62" s="12" t="s">
        <v>179</v>
      </c>
      <c r="B62" s="12" t="s">
        <v>34</v>
      </c>
      <c r="C62" s="12" t="s">
        <v>144</v>
      </c>
      <c r="D62" s="12" t="s">
        <v>77</v>
      </c>
      <c r="E62" s="12" t="s">
        <v>145</v>
      </c>
      <c r="F62" s="12" t="s">
        <v>38</v>
      </c>
      <c r="G62" s="12" t="s">
        <v>111</v>
      </c>
      <c r="H62" s="12" t="s">
        <v>40</v>
      </c>
      <c r="I62" s="12" t="s">
        <v>41</v>
      </c>
      <c r="J62" s="12" t="s">
        <v>50</v>
      </c>
      <c r="K62" s="12" t="s">
        <v>41</v>
      </c>
      <c r="L62" s="12" t="s">
        <v>41</v>
      </c>
      <c r="M62" s="12" t="s">
        <v>41</v>
      </c>
      <c r="N62" s="12" t="s">
        <v>41</v>
      </c>
      <c r="O62" s="12" t="s">
        <v>41</v>
      </c>
      <c r="P62" s="12" t="s">
        <v>43</v>
      </c>
      <c r="Q62" s="12" t="s">
        <v>41</v>
      </c>
      <c r="R62" s="12" t="s">
        <v>41</v>
      </c>
      <c r="S62" s="12" t="s">
        <v>41</v>
      </c>
      <c r="T62" s="12" t="s">
        <v>41</v>
      </c>
      <c r="U62" s="12" t="s">
        <v>41</v>
      </c>
      <c r="V62" s="12" t="s">
        <v>41</v>
      </c>
      <c r="W62" s="12" t="s">
        <v>43</v>
      </c>
      <c r="X62" s="12" t="s">
        <v>41</v>
      </c>
      <c r="Y62" s="12" t="s">
        <v>41</v>
      </c>
      <c r="Z62" s="12" t="s">
        <v>43</v>
      </c>
      <c r="AA62" s="12" t="s">
        <v>41</v>
      </c>
      <c r="AB62" s="12" t="s">
        <v>41</v>
      </c>
      <c r="AC62" s="12" t="s">
        <v>41</v>
      </c>
      <c r="AD62" s="12" t="s">
        <v>41</v>
      </c>
      <c r="AE62" s="12" t="s">
        <v>41</v>
      </c>
      <c r="AF62" s="12" t="s">
        <v>41</v>
      </c>
      <c r="AG62" s="12" t="s">
        <v>44</v>
      </c>
    </row>
    <row r="63" spans="1:33" ht="15" customHeight="1" x14ac:dyDescent="0.3">
      <c r="A63" s="13" t="s">
        <v>180</v>
      </c>
      <c r="B63" s="13" t="s">
        <v>46</v>
      </c>
      <c r="C63" s="13" t="s">
        <v>44</v>
      </c>
      <c r="D63" s="13" t="s">
        <v>60</v>
      </c>
      <c r="E63" s="13" t="s">
        <v>181</v>
      </c>
      <c r="F63" s="13" t="s">
        <v>54</v>
      </c>
      <c r="G63" s="13" t="s">
        <v>63</v>
      </c>
      <c r="H63" s="13" t="s">
        <v>49</v>
      </c>
      <c r="I63" s="13" t="s">
        <v>41</v>
      </c>
      <c r="J63" s="13" t="s">
        <v>68</v>
      </c>
      <c r="K63" s="13" t="s">
        <v>41</v>
      </c>
      <c r="L63" s="13" t="s">
        <v>41</v>
      </c>
      <c r="M63" s="13" t="s">
        <v>41</v>
      </c>
      <c r="N63" s="13" t="s">
        <v>41</v>
      </c>
      <c r="O63" s="13" t="s">
        <v>41</v>
      </c>
      <c r="P63" s="13" t="s">
        <v>41</v>
      </c>
      <c r="Q63" s="13" t="s">
        <v>43</v>
      </c>
      <c r="R63" s="13" t="s">
        <v>41</v>
      </c>
      <c r="S63" s="13" t="s">
        <v>43</v>
      </c>
      <c r="T63" s="13" t="s">
        <v>41</v>
      </c>
      <c r="U63" s="13" t="s">
        <v>41</v>
      </c>
      <c r="V63" s="13" t="s">
        <v>41</v>
      </c>
      <c r="W63" s="13" t="s">
        <v>41</v>
      </c>
      <c r="X63" s="13" t="s">
        <v>41</v>
      </c>
      <c r="Y63" s="13" t="s">
        <v>41</v>
      </c>
      <c r="Z63" s="13" t="s">
        <v>41</v>
      </c>
      <c r="AA63" s="13" t="s">
        <v>41</v>
      </c>
      <c r="AB63" s="13" t="s">
        <v>41</v>
      </c>
      <c r="AC63" s="13" t="s">
        <v>43</v>
      </c>
      <c r="AD63" s="13" t="s">
        <v>41</v>
      </c>
      <c r="AE63" s="13" t="s">
        <v>43</v>
      </c>
      <c r="AF63" s="13" t="s">
        <v>43</v>
      </c>
      <c r="AG63" s="13" t="s">
        <v>44</v>
      </c>
    </row>
    <row r="64" spans="1:33" ht="15" customHeight="1" x14ac:dyDescent="0.3">
      <c r="A64" s="12" t="s">
        <v>182</v>
      </c>
      <c r="B64" s="12" t="s">
        <v>46</v>
      </c>
      <c r="C64" s="12" t="s">
        <v>44</v>
      </c>
      <c r="D64" s="12" t="s">
        <v>86</v>
      </c>
      <c r="E64" s="12" t="s">
        <v>183</v>
      </c>
      <c r="F64" s="12" t="s">
        <v>62</v>
      </c>
      <c r="G64" s="12" t="s">
        <v>63</v>
      </c>
      <c r="H64" s="12" t="s">
        <v>56</v>
      </c>
      <c r="I64" s="12" t="s">
        <v>43</v>
      </c>
      <c r="J64" s="12" t="s">
        <v>50</v>
      </c>
      <c r="K64" s="12" t="s">
        <v>41</v>
      </c>
      <c r="L64" s="12" t="s">
        <v>41</v>
      </c>
      <c r="M64" s="12" t="s">
        <v>43</v>
      </c>
      <c r="N64" s="12" t="s">
        <v>41</v>
      </c>
      <c r="O64" s="12" t="s">
        <v>41</v>
      </c>
      <c r="P64" s="12" t="s">
        <v>41</v>
      </c>
      <c r="Q64" s="12" t="s">
        <v>41</v>
      </c>
      <c r="R64" s="12" t="s">
        <v>41</v>
      </c>
      <c r="S64" s="12" t="s">
        <v>41</v>
      </c>
      <c r="T64" s="12" t="s">
        <v>41</v>
      </c>
      <c r="U64" s="12" t="s">
        <v>41</v>
      </c>
      <c r="V64" s="12" t="s">
        <v>41</v>
      </c>
      <c r="W64" s="12" t="s">
        <v>41</v>
      </c>
      <c r="X64" s="12" t="s">
        <v>41</v>
      </c>
      <c r="Y64" s="12" t="s">
        <v>41</v>
      </c>
      <c r="Z64" s="12" t="s">
        <v>41</v>
      </c>
      <c r="AA64" s="12" t="s">
        <v>41</v>
      </c>
      <c r="AB64" s="12" t="s">
        <v>43</v>
      </c>
      <c r="AC64" s="12" t="s">
        <v>41</v>
      </c>
      <c r="AD64" s="12" t="s">
        <v>41</v>
      </c>
      <c r="AE64" s="12" t="s">
        <v>41</v>
      </c>
      <c r="AF64" s="12" t="s">
        <v>41</v>
      </c>
      <c r="AG64" s="12" t="s">
        <v>120</v>
      </c>
    </row>
    <row r="65" spans="1:33" ht="15" customHeight="1" x14ac:dyDescent="0.3">
      <c r="A65" s="13" t="s">
        <v>184</v>
      </c>
      <c r="B65" s="13" t="s">
        <v>46</v>
      </c>
      <c r="C65" s="13" t="s">
        <v>44</v>
      </c>
      <c r="D65" s="13" t="s">
        <v>125</v>
      </c>
      <c r="E65" s="13" t="s">
        <v>183</v>
      </c>
      <c r="F65" s="13" t="s">
        <v>62</v>
      </c>
      <c r="G65" s="13" t="s">
        <v>119</v>
      </c>
      <c r="H65" s="13" t="s">
        <v>49</v>
      </c>
      <c r="I65" s="13" t="s">
        <v>41</v>
      </c>
      <c r="J65" s="13" t="s">
        <v>42</v>
      </c>
      <c r="K65" s="13" t="s">
        <v>43</v>
      </c>
      <c r="L65" s="13" t="s">
        <v>43</v>
      </c>
      <c r="M65" s="13" t="s">
        <v>41</v>
      </c>
      <c r="N65" s="13" t="s">
        <v>41</v>
      </c>
      <c r="O65" s="13" t="s">
        <v>41</v>
      </c>
      <c r="P65" s="13" t="s">
        <v>43</v>
      </c>
      <c r="Q65" s="13" t="s">
        <v>41</v>
      </c>
      <c r="R65" s="13" t="s">
        <v>41</v>
      </c>
      <c r="S65" s="13" t="s">
        <v>41</v>
      </c>
      <c r="T65" s="13" t="s">
        <v>41</v>
      </c>
      <c r="U65" s="13" t="s">
        <v>41</v>
      </c>
      <c r="V65" s="13" t="s">
        <v>41</v>
      </c>
      <c r="W65" s="13" t="s">
        <v>41</v>
      </c>
      <c r="X65" s="13" t="s">
        <v>41</v>
      </c>
      <c r="Y65" s="13" t="s">
        <v>43</v>
      </c>
      <c r="Z65" s="13" t="s">
        <v>41</v>
      </c>
      <c r="AA65" s="13" t="s">
        <v>41</v>
      </c>
      <c r="AB65" s="13" t="s">
        <v>41</v>
      </c>
      <c r="AC65" s="13" t="s">
        <v>41</v>
      </c>
      <c r="AD65" s="13" t="s">
        <v>43</v>
      </c>
      <c r="AE65" s="13" t="s">
        <v>41</v>
      </c>
      <c r="AF65" s="13" t="s">
        <v>43</v>
      </c>
      <c r="AG65" s="13" t="s">
        <v>44</v>
      </c>
    </row>
    <row r="66" spans="1:33" ht="15" customHeight="1" x14ac:dyDescent="0.3">
      <c r="A66" s="12" t="s">
        <v>185</v>
      </c>
      <c r="B66" s="12" t="s">
        <v>46</v>
      </c>
      <c r="C66" s="12" t="s">
        <v>44</v>
      </c>
      <c r="D66" s="12" t="s">
        <v>83</v>
      </c>
      <c r="E66" s="12" t="s">
        <v>186</v>
      </c>
      <c r="F66" s="12" t="s">
        <v>62</v>
      </c>
      <c r="G66" s="12" t="s">
        <v>119</v>
      </c>
      <c r="H66" s="12" t="s">
        <v>49</v>
      </c>
      <c r="I66" s="12" t="s">
        <v>41</v>
      </c>
      <c r="J66" s="12" t="s">
        <v>50</v>
      </c>
      <c r="K66" s="12" t="s">
        <v>41</v>
      </c>
      <c r="L66" s="12" t="s">
        <v>41</v>
      </c>
      <c r="M66" s="12" t="s">
        <v>41</v>
      </c>
      <c r="N66" s="12" t="s">
        <v>43</v>
      </c>
      <c r="O66" s="12" t="s">
        <v>41</v>
      </c>
      <c r="P66" s="12" t="s">
        <v>41</v>
      </c>
      <c r="Q66" s="12" t="s">
        <v>41</v>
      </c>
      <c r="R66" s="12" t="s">
        <v>41</v>
      </c>
      <c r="S66" s="12" t="s">
        <v>41</v>
      </c>
      <c r="T66" s="12" t="s">
        <v>41</v>
      </c>
      <c r="U66" s="12" t="s">
        <v>43</v>
      </c>
      <c r="V66" s="12" t="s">
        <v>41</v>
      </c>
      <c r="W66" s="12" t="s">
        <v>41</v>
      </c>
      <c r="X66" s="12" t="s">
        <v>43</v>
      </c>
      <c r="Y66" s="12" t="s">
        <v>41</v>
      </c>
      <c r="Z66" s="12" t="s">
        <v>43</v>
      </c>
      <c r="AA66" s="12" t="s">
        <v>41</v>
      </c>
      <c r="AB66" s="12" t="s">
        <v>41</v>
      </c>
      <c r="AC66" s="12" t="s">
        <v>41</v>
      </c>
      <c r="AD66" s="12" t="s">
        <v>41</v>
      </c>
      <c r="AE66" s="12" t="s">
        <v>41</v>
      </c>
      <c r="AF66" s="12" t="s">
        <v>43</v>
      </c>
      <c r="AG66" s="12" t="s">
        <v>44</v>
      </c>
    </row>
    <row r="67" spans="1:33" ht="15" customHeight="1" x14ac:dyDescent="0.3">
      <c r="A67" s="13" t="s">
        <v>187</v>
      </c>
      <c r="B67" s="13" t="s">
        <v>46</v>
      </c>
      <c r="C67" s="13" t="s">
        <v>44</v>
      </c>
      <c r="D67" s="13" t="s">
        <v>36</v>
      </c>
      <c r="E67" s="13" t="s">
        <v>188</v>
      </c>
      <c r="F67" s="13" t="s">
        <v>38</v>
      </c>
      <c r="G67" s="13" t="s">
        <v>104</v>
      </c>
      <c r="H67" s="13" t="s">
        <v>56</v>
      </c>
      <c r="I67" s="13" t="s">
        <v>43</v>
      </c>
      <c r="J67" s="13" t="s">
        <v>50</v>
      </c>
      <c r="K67" s="13" t="s">
        <v>41</v>
      </c>
      <c r="L67" s="13" t="s">
        <v>41</v>
      </c>
      <c r="M67" s="13" t="s">
        <v>41</v>
      </c>
      <c r="N67" s="13" t="s">
        <v>41</v>
      </c>
      <c r="O67" s="13" t="s">
        <v>41</v>
      </c>
      <c r="P67" s="13" t="s">
        <v>43</v>
      </c>
      <c r="Q67" s="13" t="s">
        <v>41</v>
      </c>
      <c r="R67" s="13" t="s">
        <v>43</v>
      </c>
      <c r="S67" s="13" t="s">
        <v>41</v>
      </c>
      <c r="T67" s="13" t="s">
        <v>41</v>
      </c>
      <c r="U67" s="13" t="s">
        <v>41</v>
      </c>
      <c r="V67" s="13" t="s">
        <v>41</v>
      </c>
      <c r="W67" s="13" t="s">
        <v>41</v>
      </c>
      <c r="X67" s="13" t="s">
        <v>41</v>
      </c>
      <c r="Y67" s="13" t="s">
        <v>41</v>
      </c>
      <c r="Z67" s="13" t="s">
        <v>41</v>
      </c>
      <c r="AA67" s="13" t="s">
        <v>43</v>
      </c>
      <c r="AB67" s="13" t="s">
        <v>43</v>
      </c>
      <c r="AC67" s="13" t="s">
        <v>43</v>
      </c>
      <c r="AD67" s="13" t="s">
        <v>41</v>
      </c>
      <c r="AE67" s="13" t="s">
        <v>41</v>
      </c>
      <c r="AF67" s="13" t="s">
        <v>43</v>
      </c>
      <c r="AG67" s="13" t="s">
        <v>57</v>
      </c>
    </row>
    <row r="68" spans="1:33" ht="15" customHeight="1" x14ac:dyDescent="0.3">
      <c r="A68" s="12" t="s">
        <v>189</v>
      </c>
      <c r="B68" s="12" t="s">
        <v>34</v>
      </c>
      <c r="C68" s="12" t="s">
        <v>70</v>
      </c>
      <c r="D68" s="12" t="s">
        <v>65</v>
      </c>
      <c r="E68" s="12" t="s">
        <v>130</v>
      </c>
      <c r="F68" s="12" t="s">
        <v>62</v>
      </c>
      <c r="G68" s="12" t="s">
        <v>63</v>
      </c>
      <c r="H68" s="12" t="s">
        <v>56</v>
      </c>
      <c r="I68" s="12" t="s">
        <v>43</v>
      </c>
      <c r="J68" s="12" t="s">
        <v>42</v>
      </c>
      <c r="K68" s="12" t="s">
        <v>43</v>
      </c>
      <c r="L68" s="12" t="s">
        <v>43</v>
      </c>
      <c r="M68" s="12" t="s">
        <v>43</v>
      </c>
      <c r="N68" s="12" t="s">
        <v>41</v>
      </c>
      <c r="O68" s="12" t="s">
        <v>43</v>
      </c>
      <c r="P68" s="12" t="s">
        <v>43</v>
      </c>
      <c r="Q68" s="12" t="s">
        <v>41</v>
      </c>
      <c r="R68" s="12" t="s">
        <v>41</v>
      </c>
      <c r="S68" s="12" t="s">
        <v>41</v>
      </c>
      <c r="T68" s="12" t="s">
        <v>41</v>
      </c>
      <c r="U68" s="12" t="s">
        <v>41</v>
      </c>
      <c r="V68" s="12" t="s">
        <v>41</v>
      </c>
      <c r="W68" s="12" t="s">
        <v>41</v>
      </c>
      <c r="X68" s="12" t="s">
        <v>41</v>
      </c>
      <c r="Y68" s="12" t="s">
        <v>41</v>
      </c>
      <c r="Z68" s="12" t="s">
        <v>43</v>
      </c>
      <c r="AA68" s="12" t="s">
        <v>41</v>
      </c>
      <c r="AB68" s="12" t="s">
        <v>43</v>
      </c>
      <c r="AC68" s="12" t="s">
        <v>43</v>
      </c>
      <c r="AD68" s="12" t="s">
        <v>43</v>
      </c>
      <c r="AE68" s="12" t="s">
        <v>41</v>
      </c>
      <c r="AF68" s="12" t="s">
        <v>43</v>
      </c>
      <c r="AG68" s="12" t="s">
        <v>120</v>
      </c>
    </row>
    <row r="69" spans="1:33" ht="15" customHeight="1" x14ac:dyDescent="0.3">
      <c r="A69" s="13" t="s">
        <v>190</v>
      </c>
      <c r="B69" s="13" t="s">
        <v>46</v>
      </c>
      <c r="C69" s="13" t="s">
        <v>44</v>
      </c>
      <c r="D69" s="13" t="s">
        <v>52</v>
      </c>
      <c r="E69" s="13" t="s">
        <v>191</v>
      </c>
      <c r="F69" s="13" t="s">
        <v>62</v>
      </c>
      <c r="G69" s="13" t="s">
        <v>150</v>
      </c>
      <c r="H69" s="13" t="s">
        <v>49</v>
      </c>
      <c r="I69" s="13" t="s">
        <v>41</v>
      </c>
      <c r="J69" s="13" t="s">
        <v>50</v>
      </c>
      <c r="K69" s="13" t="s">
        <v>41</v>
      </c>
      <c r="L69" s="13" t="s">
        <v>41</v>
      </c>
      <c r="M69" s="13" t="s">
        <v>43</v>
      </c>
      <c r="N69" s="13" t="s">
        <v>43</v>
      </c>
      <c r="O69" s="13" t="s">
        <v>41</v>
      </c>
      <c r="P69" s="13" t="s">
        <v>41</v>
      </c>
      <c r="Q69" s="13" t="s">
        <v>41</v>
      </c>
      <c r="R69" s="13" t="s">
        <v>41</v>
      </c>
      <c r="S69" s="13" t="s">
        <v>41</v>
      </c>
      <c r="T69" s="13" t="s">
        <v>41</v>
      </c>
      <c r="U69" s="13" t="s">
        <v>43</v>
      </c>
      <c r="V69" s="13" t="s">
        <v>41</v>
      </c>
      <c r="W69" s="13" t="s">
        <v>41</v>
      </c>
      <c r="X69" s="13" t="s">
        <v>41</v>
      </c>
      <c r="Y69" s="13" t="s">
        <v>43</v>
      </c>
      <c r="Z69" s="13" t="s">
        <v>43</v>
      </c>
      <c r="AA69" s="13" t="s">
        <v>41</v>
      </c>
      <c r="AB69" s="13" t="s">
        <v>41</v>
      </c>
      <c r="AC69" s="13" t="s">
        <v>41</v>
      </c>
      <c r="AD69" s="13" t="s">
        <v>41</v>
      </c>
      <c r="AE69" s="13" t="s">
        <v>41</v>
      </c>
      <c r="AF69" s="13" t="s">
        <v>43</v>
      </c>
      <c r="AG69" s="13" t="s">
        <v>44</v>
      </c>
    </row>
    <row r="70" spans="1:33" ht="15" customHeight="1" x14ac:dyDescent="0.3">
      <c r="A70" s="12" t="s">
        <v>192</v>
      </c>
      <c r="B70" s="12" t="s">
        <v>46</v>
      </c>
      <c r="C70" s="12" t="s">
        <v>44</v>
      </c>
      <c r="D70" s="12" t="s">
        <v>125</v>
      </c>
      <c r="E70" s="12" t="s">
        <v>126</v>
      </c>
      <c r="F70" s="12" t="s">
        <v>38</v>
      </c>
      <c r="G70" s="12" t="s">
        <v>88</v>
      </c>
      <c r="H70" s="12" t="s">
        <v>49</v>
      </c>
      <c r="I70" s="12" t="s">
        <v>41</v>
      </c>
      <c r="J70" s="12" t="s">
        <v>42</v>
      </c>
      <c r="K70" s="12" t="s">
        <v>41</v>
      </c>
      <c r="L70" s="12" t="s">
        <v>41</v>
      </c>
      <c r="M70" s="12" t="s">
        <v>41</v>
      </c>
      <c r="N70" s="12" t="s">
        <v>41</v>
      </c>
      <c r="O70" s="12" t="s">
        <v>43</v>
      </c>
      <c r="P70" s="12" t="s">
        <v>41</v>
      </c>
      <c r="Q70" s="12" t="s">
        <v>41</v>
      </c>
      <c r="R70" s="12" t="s">
        <v>41</v>
      </c>
      <c r="S70" s="12" t="s">
        <v>41</v>
      </c>
      <c r="T70" s="12" t="s">
        <v>43</v>
      </c>
      <c r="U70" s="12" t="s">
        <v>41</v>
      </c>
      <c r="V70" s="12" t="s">
        <v>41</v>
      </c>
      <c r="W70" s="12" t="s">
        <v>41</v>
      </c>
      <c r="X70" s="12" t="s">
        <v>41</v>
      </c>
      <c r="Y70" s="12" t="s">
        <v>41</v>
      </c>
      <c r="Z70" s="12" t="s">
        <v>41</v>
      </c>
      <c r="AA70" s="12" t="s">
        <v>41</v>
      </c>
      <c r="AB70" s="12" t="s">
        <v>43</v>
      </c>
      <c r="AC70" s="12" t="s">
        <v>43</v>
      </c>
      <c r="AD70" s="12" t="s">
        <v>43</v>
      </c>
      <c r="AE70" s="12" t="s">
        <v>41</v>
      </c>
      <c r="AF70" s="12" t="s">
        <v>41</v>
      </c>
      <c r="AG70" s="12" t="s">
        <v>44</v>
      </c>
    </row>
    <row r="71" spans="1:33" ht="15" customHeight="1" x14ac:dyDescent="0.3">
      <c r="A71" s="13" t="s">
        <v>193</v>
      </c>
      <c r="B71" s="13" t="s">
        <v>46</v>
      </c>
      <c r="C71" s="13" t="s">
        <v>44</v>
      </c>
      <c r="D71" s="13" t="s">
        <v>125</v>
      </c>
      <c r="E71" s="13" t="s">
        <v>47</v>
      </c>
      <c r="F71" s="13" t="s">
        <v>38</v>
      </c>
      <c r="G71" s="13" t="s">
        <v>104</v>
      </c>
      <c r="H71" s="13" t="s">
        <v>49</v>
      </c>
      <c r="I71" s="13" t="s">
        <v>41</v>
      </c>
      <c r="J71" s="13" t="s">
        <v>42</v>
      </c>
      <c r="K71" s="13" t="s">
        <v>41</v>
      </c>
      <c r="L71" s="13" t="s">
        <v>43</v>
      </c>
      <c r="M71" s="13" t="s">
        <v>41</v>
      </c>
      <c r="N71" s="13" t="s">
        <v>43</v>
      </c>
      <c r="O71" s="13" t="s">
        <v>41</v>
      </c>
      <c r="P71" s="13" t="s">
        <v>41</v>
      </c>
      <c r="Q71" s="13" t="s">
        <v>43</v>
      </c>
      <c r="R71" s="13" t="s">
        <v>41</v>
      </c>
      <c r="S71" s="13" t="s">
        <v>43</v>
      </c>
      <c r="T71" s="13" t="s">
        <v>41</v>
      </c>
      <c r="U71" s="13" t="s">
        <v>41</v>
      </c>
      <c r="V71" s="13" t="s">
        <v>41</v>
      </c>
      <c r="W71" s="13" t="s">
        <v>41</v>
      </c>
      <c r="X71" s="13" t="s">
        <v>41</v>
      </c>
      <c r="Y71" s="13" t="s">
        <v>41</v>
      </c>
      <c r="Z71" s="13" t="s">
        <v>41</v>
      </c>
      <c r="AA71" s="13" t="s">
        <v>41</v>
      </c>
      <c r="AB71" s="13" t="s">
        <v>41</v>
      </c>
      <c r="AC71" s="13" t="s">
        <v>43</v>
      </c>
      <c r="AD71" s="13" t="s">
        <v>43</v>
      </c>
      <c r="AE71" s="13" t="s">
        <v>41</v>
      </c>
      <c r="AF71" s="13" t="s">
        <v>41</v>
      </c>
      <c r="AG71" s="13" t="s">
        <v>44</v>
      </c>
    </row>
    <row r="72" spans="1:33" ht="15" customHeight="1" x14ac:dyDescent="0.3">
      <c r="A72" s="12" t="s">
        <v>194</v>
      </c>
      <c r="B72" s="12" t="s">
        <v>46</v>
      </c>
      <c r="C72" s="12" t="s">
        <v>44</v>
      </c>
      <c r="D72" s="12" t="s">
        <v>125</v>
      </c>
      <c r="E72" s="12" t="s">
        <v>140</v>
      </c>
      <c r="F72" s="12" t="s">
        <v>38</v>
      </c>
      <c r="G72" s="12" t="s">
        <v>63</v>
      </c>
      <c r="H72" s="12" t="s">
        <v>56</v>
      </c>
      <c r="I72" s="12" t="s">
        <v>43</v>
      </c>
      <c r="J72" s="12" t="s">
        <v>50</v>
      </c>
      <c r="K72" s="12" t="s">
        <v>43</v>
      </c>
      <c r="L72" s="12" t="s">
        <v>41</v>
      </c>
      <c r="M72" s="12" t="s">
        <v>41</v>
      </c>
      <c r="N72" s="12" t="s">
        <v>41</v>
      </c>
      <c r="O72" s="12" t="s">
        <v>41</v>
      </c>
      <c r="P72" s="12" t="s">
        <v>41</v>
      </c>
      <c r="Q72" s="12" t="s">
        <v>41</v>
      </c>
      <c r="R72" s="12" t="s">
        <v>41</v>
      </c>
      <c r="S72" s="12" t="s">
        <v>41</v>
      </c>
      <c r="T72" s="12" t="s">
        <v>41</v>
      </c>
      <c r="U72" s="12" t="s">
        <v>41</v>
      </c>
      <c r="V72" s="12" t="s">
        <v>41</v>
      </c>
      <c r="W72" s="12" t="s">
        <v>43</v>
      </c>
      <c r="X72" s="12" t="s">
        <v>41</v>
      </c>
      <c r="Y72" s="12" t="s">
        <v>41</v>
      </c>
      <c r="Z72" s="12" t="s">
        <v>43</v>
      </c>
      <c r="AA72" s="12" t="s">
        <v>41</v>
      </c>
      <c r="AB72" s="12" t="s">
        <v>41</v>
      </c>
      <c r="AC72" s="12" t="s">
        <v>41</v>
      </c>
      <c r="AD72" s="12" t="s">
        <v>41</v>
      </c>
      <c r="AE72" s="12" t="s">
        <v>43</v>
      </c>
      <c r="AF72" s="12" t="s">
        <v>43</v>
      </c>
      <c r="AG72" s="12" t="s">
        <v>120</v>
      </c>
    </row>
    <row r="73" spans="1:33" ht="15" customHeight="1" x14ac:dyDescent="0.3">
      <c r="A73" s="13" t="s">
        <v>195</v>
      </c>
      <c r="B73" s="13" t="s">
        <v>46</v>
      </c>
      <c r="C73" s="13" t="s">
        <v>44</v>
      </c>
      <c r="D73" s="13" t="s">
        <v>92</v>
      </c>
      <c r="E73" s="13" t="s">
        <v>196</v>
      </c>
      <c r="F73" s="13" t="s">
        <v>54</v>
      </c>
      <c r="G73" s="13" t="s">
        <v>79</v>
      </c>
      <c r="H73" s="13" t="s">
        <v>40</v>
      </c>
      <c r="I73" s="13" t="s">
        <v>41</v>
      </c>
      <c r="J73" s="13" t="s">
        <v>42</v>
      </c>
      <c r="K73" s="13" t="s">
        <v>43</v>
      </c>
      <c r="L73" s="13" t="s">
        <v>43</v>
      </c>
      <c r="M73" s="13" t="s">
        <v>41</v>
      </c>
      <c r="N73" s="13" t="s">
        <v>43</v>
      </c>
      <c r="O73" s="13" t="s">
        <v>41</v>
      </c>
      <c r="P73" s="13" t="s">
        <v>43</v>
      </c>
      <c r="Q73" s="13" t="s">
        <v>41</v>
      </c>
      <c r="R73" s="13" t="s">
        <v>41</v>
      </c>
      <c r="S73" s="13" t="s">
        <v>41</v>
      </c>
      <c r="T73" s="13" t="s">
        <v>41</v>
      </c>
      <c r="U73" s="13" t="s">
        <v>41</v>
      </c>
      <c r="V73" s="13" t="s">
        <v>41</v>
      </c>
      <c r="W73" s="13" t="s">
        <v>41</v>
      </c>
      <c r="X73" s="13" t="s">
        <v>43</v>
      </c>
      <c r="Y73" s="13" t="s">
        <v>41</v>
      </c>
      <c r="Z73" s="13" t="s">
        <v>41</v>
      </c>
      <c r="AA73" s="13" t="s">
        <v>41</v>
      </c>
      <c r="AB73" s="13" t="s">
        <v>43</v>
      </c>
      <c r="AC73" s="13" t="s">
        <v>41</v>
      </c>
      <c r="AD73" s="13" t="s">
        <v>43</v>
      </c>
      <c r="AE73" s="13" t="s">
        <v>41</v>
      </c>
      <c r="AF73" s="13" t="s">
        <v>41</v>
      </c>
      <c r="AG73" s="13" t="s">
        <v>44</v>
      </c>
    </row>
    <row r="74" spans="1:33" ht="15" customHeight="1" x14ac:dyDescent="0.3">
      <c r="A74" s="12" t="s">
        <v>197</v>
      </c>
      <c r="B74" s="12" t="s">
        <v>34</v>
      </c>
      <c r="C74" s="12" t="s">
        <v>59</v>
      </c>
      <c r="D74" s="12" t="s">
        <v>65</v>
      </c>
      <c r="E74" s="12" t="s">
        <v>130</v>
      </c>
      <c r="F74" s="12" t="s">
        <v>38</v>
      </c>
      <c r="G74" s="12" t="s">
        <v>150</v>
      </c>
      <c r="H74" s="12" t="s">
        <v>56</v>
      </c>
      <c r="I74" s="12" t="s">
        <v>43</v>
      </c>
      <c r="J74" s="12" t="s">
        <v>42</v>
      </c>
      <c r="K74" s="12" t="s">
        <v>41</v>
      </c>
      <c r="L74" s="12" t="s">
        <v>41</v>
      </c>
      <c r="M74" s="12" t="s">
        <v>41</v>
      </c>
      <c r="N74" s="12" t="s">
        <v>43</v>
      </c>
      <c r="O74" s="12" t="s">
        <v>41</v>
      </c>
      <c r="P74" s="12" t="s">
        <v>41</v>
      </c>
      <c r="Q74" s="12" t="s">
        <v>41</v>
      </c>
      <c r="R74" s="12" t="s">
        <v>41</v>
      </c>
      <c r="S74" s="12" t="s">
        <v>41</v>
      </c>
      <c r="T74" s="12" t="s">
        <v>41</v>
      </c>
      <c r="U74" s="12" t="s">
        <v>41</v>
      </c>
      <c r="V74" s="12" t="s">
        <v>41</v>
      </c>
      <c r="W74" s="12" t="s">
        <v>41</v>
      </c>
      <c r="X74" s="12" t="s">
        <v>41</v>
      </c>
      <c r="Y74" s="12" t="s">
        <v>41</v>
      </c>
      <c r="Z74" s="12" t="s">
        <v>43</v>
      </c>
      <c r="AA74" s="12" t="s">
        <v>41</v>
      </c>
      <c r="AB74" s="12" t="s">
        <v>43</v>
      </c>
      <c r="AC74" s="12" t="s">
        <v>41</v>
      </c>
      <c r="AD74" s="12" t="s">
        <v>43</v>
      </c>
      <c r="AE74" s="12" t="s">
        <v>41</v>
      </c>
      <c r="AF74" s="12" t="s">
        <v>41</v>
      </c>
      <c r="AG74" s="12" t="s">
        <v>57</v>
      </c>
    </row>
    <row r="75" spans="1:33" ht="15" customHeight="1" x14ac:dyDescent="0.3">
      <c r="A75" s="13" t="s">
        <v>198</v>
      </c>
      <c r="B75" s="13" t="s">
        <v>46</v>
      </c>
      <c r="C75" s="13" t="s">
        <v>44</v>
      </c>
      <c r="D75" s="13" t="s">
        <v>52</v>
      </c>
      <c r="E75" s="13" t="s">
        <v>199</v>
      </c>
      <c r="F75" s="13" t="s">
        <v>38</v>
      </c>
      <c r="G75" s="13" t="s">
        <v>119</v>
      </c>
      <c r="H75" s="13" t="s">
        <v>49</v>
      </c>
      <c r="I75" s="13" t="s">
        <v>43</v>
      </c>
      <c r="J75" s="13" t="s">
        <v>50</v>
      </c>
      <c r="K75" s="13" t="s">
        <v>41</v>
      </c>
      <c r="L75" s="13" t="s">
        <v>41</v>
      </c>
      <c r="M75" s="13" t="s">
        <v>41</v>
      </c>
      <c r="N75" s="13" t="s">
        <v>41</v>
      </c>
      <c r="O75" s="13" t="s">
        <v>43</v>
      </c>
      <c r="P75" s="13" t="s">
        <v>41</v>
      </c>
      <c r="Q75" s="13" t="s">
        <v>41</v>
      </c>
      <c r="R75" s="13" t="s">
        <v>41</v>
      </c>
      <c r="S75" s="13" t="s">
        <v>41</v>
      </c>
      <c r="T75" s="13" t="s">
        <v>43</v>
      </c>
      <c r="U75" s="13" t="s">
        <v>41</v>
      </c>
      <c r="V75" s="13" t="s">
        <v>41</v>
      </c>
      <c r="W75" s="13" t="s">
        <v>41</v>
      </c>
      <c r="X75" s="13" t="s">
        <v>41</v>
      </c>
      <c r="Y75" s="13" t="s">
        <v>41</v>
      </c>
      <c r="Z75" s="13" t="s">
        <v>41</v>
      </c>
      <c r="AA75" s="13" t="s">
        <v>41</v>
      </c>
      <c r="AB75" s="13" t="s">
        <v>43</v>
      </c>
      <c r="AC75" s="13" t="s">
        <v>43</v>
      </c>
      <c r="AD75" s="13" t="s">
        <v>41</v>
      </c>
      <c r="AE75" s="13" t="s">
        <v>43</v>
      </c>
      <c r="AF75" s="13" t="s">
        <v>43</v>
      </c>
      <c r="AG75" s="13" t="s">
        <v>44</v>
      </c>
    </row>
    <row r="76" spans="1:33" ht="15" customHeight="1" x14ac:dyDescent="0.3">
      <c r="A76" s="12" t="s">
        <v>200</v>
      </c>
      <c r="B76" s="12" t="s">
        <v>34</v>
      </c>
      <c r="C76" s="12" t="s">
        <v>144</v>
      </c>
      <c r="D76" s="12" t="s">
        <v>36</v>
      </c>
      <c r="E76" s="12" t="s">
        <v>201</v>
      </c>
      <c r="F76" s="12" t="s">
        <v>54</v>
      </c>
      <c r="G76" s="12" t="s">
        <v>48</v>
      </c>
      <c r="H76" s="12" t="s">
        <v>49</v>
      </c>
      <c r="I76" s="12" t="s">
        <v>41</v>
      </c>
      <c r="J76" s="12" t="s">
        <v>42</v>
      </c>
      <c r="K76" s="12" t="s">
        <v>41</v>
      </c>
      <c r="L76" s="12" t="s">
        <v>41</v>
      </c>
      <c r="M76" s="12" t="s">
        <v>43</v>
      </c>
      <c r="N76" s="12" t="s">
        <v>41</v>
      </c>
      <c r="O76" s="12" t="s">
        <v>43</v>
      </c>
      <c r="P76" s="12" t="s">
        <v>41</v>
      </c>
      <c r="Q76" s="12" t="s">
        <v>41</v>
      </c>
      <c r="R76" s="12" t="s">
        <v>43</v>
      </c>
      <c r="S76" s="12" t="s">
        <v>41</v>
      </c>
      <c r="T76" s="12" t="s">
        <v>41</v>
      </c>
      <c r="U76" s="12" t="s">
        <v>41</v>
      </c>
      <c r="V76" s="12" t="s">
        <v>41</v>
      </c>
      <c r="W76" s="12" t="s">
        <v>43</v>
      </c>
      <c r="X76" s="12" t="s">
        <v>41</v>
      </c>
      <c r="Y76" s="12" t="s">
        <v>41</v>
      </c>
      <c r="Z76" s="12" t="s">
        <v>41</v>
      </c>
      <c r="AA76" s="12" t="s">
        <v>41</v>
      </c>
      <c r="AB76" s="12" t="s">
        <v>41</v>
      </c>
      <c r="AC76" s="12" t="s">
        <v>43</v>
      </c>
      <c r="AD76" s="12" t="s">
        <v>43</v>
      </c>
      <c r="AE76" s="12" t="s">
        <v>41</v>
      </c>
      <c r="AF76" s="12" t="s">
        <v>43</v>
      </c>
      <c r="AG76" s="12" t="s">
        <v>44</v>
      </c>
    </row>
    <row r="77" spans="1:33" ht="15" customHeight="1" x14ac:dyDescent="0.3">
      <c r="A77" s="13" t="s">
        <v>202</v>
      </c>
      <c r="B77" s="13" t="s">
        <v>34</v>
      </c>
      <c r="C77" s="13" t="s">
        <v>129</v>
      </c>
      <c r="D77" s="13" t="s">
        <v>92</v>
      </c>
      <c r="E77" s="13" t="s">
        <v>136</v>
      </c>
      <c r="F77" s="13" t="s">
        <v>38</v>
      </c>
      <c r="G77" s="13" t="s">
        <v>154</v>
      </c>
      <c r="H77" s="13" t="s">
        <v>49</v>
      </c>
      <c r="I77" s="13" t="s">
        <v>43</v>
      </c>
      <c r="J77" s="13" t="s">
        <v>42</v>
      </c>
      <c r="K77" s="13" t="s">
        <v>43</v>
      </c>
      <c r="L77" s="13" t="s">
        <v>41</v>
      </c>
      <c r="M77" s="13" t="s">
        <v>41</v>
      </c>
      <c r="N77" s="13" t="s">
        <v>41</v>
      </c>
      <c r="O77" s="13" t="s">
        <v>41</v>
      </c>
      <c r="P77" s="13" t="s">
        <v>41</v>
      </c>
      <c r="Q77" s="13" t="s">
        <v>43</v>
      </c>
      <c r="R77" s="13" t="s">
        <v>41</v>
      </c>
      <c r="S77" s="13" t="s">
        <v>43</v>
      </c>
      <c r="T77" s="13" t="s">
        <v>43</v>
      </c>
      <c r="U77" s="13" t="s">
        <v>43</v>
      </c>
      <c r="V77" s="13" t="s">
        <v>41</v>
      </c>
      <c r="W77" s="13" t="s">
        <v>43</v>
      </c>
      <c r="X77" s="13" t="s">
        <v>43</v>
      </c>
      <c r="Y77" s="13" t="s">
        <v>43</v>
      </c>
      <c r="Z77" s="13" t="s">
        <v>41</v>
      </c>
      <c r="AA77" s="13" t="s">
        <v>43</v>
      </c>
      <c r="AB77" s="13" t="s">
        <v>41</v>
      </c>
      <c r="AC77" s="13" t="s">
        <v>41</v>
      </c>
      <c r="AD77" s="13" t="s">
        <v>43</v>
      </c>
      <c r="AE77" s="13" t="s">
        <v>41</v>
      </c>
      <c r="AF77" s="13" t="s">
        <v>41</v>
      </c>
      <c r="AG77" s="13" t="s">
        <v>44</v>
      </c>
    </row>
    <row r="78" spans="1:33" ht="15" customHeight="1" x14ac:dyDescent="0.3">
      <c r="A78" s="12" t="s">
        <v>203</v>
      </c>
      <c r="B78" s="12" t="s">
        <v>46</v>
      </c>
      <c r="C78" s="12" t="s">
        <v>44</v>
      </c>
      <c r="D78" s="12" t="s">
        <v>65</v>
      </c>
      <c r="E78" s="12" t="s">
        <v>204</v>
      </c>
      <c r="F78" s="12" t="s">
        <v>54</v>
      </c>
      <c r="G78" s="12" t="s">
        <v>104</v>
      </c>
      <c r="H78" s="12" t="s">
        <v>49</v>
      </c>
      <c r="I78" s="12" t="s">
        <v>43</v>
      </c>
      <c r="J78" s="12" t="s">
        <v>68</v>
      </c>
      <c r="K78" s="12" t="s">
        <v>43</v>
      </c>
      <c r="L78" s="12" t="s">
        <v>41</v>
      </c>
      <c r="M78" s="12" t="s">
        <v>41</v>
      </c>
      <c r="N78" s="12" t="s">
        <v>41</v>
      </c>
      <c r="O78" s="12" t="s">
        <v>41</v>
      </c>
      <c r="P78" s="12" t="s">
        <v>43</v>
      </c>
      <c r="Q78" s="12" t="s">
        <v>43</v>
      </c>
      <c r="R78" s="12" t="s">
        <v>43</v>
      </c>
      <c r="S78" s="12" t="s">
        <v>41</v>
      </c>
      <c r="T78" s="12" t="s">
        <v>41</v>
      </c>
      <c r="U78" s="12" t="s">
        <v>41</v>
      </c>
      <c r="V78" s="12" t="s">
        <v>41</v>
      </c>
      <c r="W78" s="12" t="s">
        <v>41</v>
      </c>
      <c r="X78" s="12" t="s">
        <v>41</v>
      </c>
      <c r="Y78" s="12" t="s">
        <v>41</v>
      </c>
      <c r="Z78" s="12" t="s">
        <v>41</v>
      </c>
      <c r="AA78" s="12" t="s">
        <v>41</v>
      </c>
      <c r="AB78" s="12" t="s">
        <v>43</v>
      </c>
      <c r="AC78" s="12" t="s">
        <v>41</v>
      </c>
      <c r="AD78" s="12" t="s">
        <v>41</v>
      </c>
      <c r="AE78" s="12" t="s">
        <v>41</v>
      </c>
      <c r="AF78" s="12" t="s">
        <v>41</v>
      </c>
      <c r="AG78" s="12" t="s">
        <v>44</v>
      </c>
    </row>
    <row r="79" spans="1:33" ht="15" customHeight="1" x14ac:dyDescent="0.3">
      <c r="A79" s="13" t="s">
        <v>205</v>
      </c>
      <c r="B79" s="13" t="s">
        <v>34</v>
      </c>
      <c r="C79" s="13" t="s">
        <v>109</v>
      </c>
      <c r="D79" s="13" t="s">
        <v>77</v>
      </c>
      <c r="E79" s="13" t="s">
        <v>206</v>
      </c>
      <c r="F79" s="13" t="s">
        <v>54</v>
      </c>
      <c r="G79" s="13" t="s">
        <v>114</v>
      </c>
      <c r="H79" s="13" t="s">
        <v>49</v>
      </c>
      <c r="I79" s="13" t="s">
        <v>43</v>
      </c>
      <c r="J79" s="13" t="s">
        <v>50</v>
      </c>
      <c r="K79" s="13" t="s">
        <v>43</v>
      </c>
      <c r="L79" s="13" t="s">
        <v>41</v>
      </c>
      <c r="M79" s="13" t="s">
        <v>41</v>
      </c>
      <c r="N79" s="13" t="s">
        <v>41</v>
      </c>
      <c r="O79" s="13" t="s">
        <v>41</v>
      </c>
      <c r="P79" s="13" t="s">
        <v>41</v>
      </c>
      <c r="Q79" s="13" t="s">
        <v>43</v>
      </c>
      <c r="R79" s="13" t="s">
        <v>41</v>
      </c>
      <c r="S79" s="13" t="s">
        <v>43</v>
      </c>
      <c r="T79" s="13" t="s">
        <v>43</v>
      </c>
      <c r="U79" s="13" t="s">
        <v>41</v>
      </c>
      <c r="V79" s="13" t="s">
        <v>41</v>
      </c>
      <c r="W79" s="13" t="s">
        <v>41</v>
      </c>
      <c r="X79" s="13" t="s">
        <v>43</v>
      </c>
      <c r="Y79" s="13" t="s">
        <v>43</v>
      </c>
      <c r="Z79" s="13" t="s">
        <v>41</v>
      </c>
      <c r="AA79" s="13" t="s">
        <v>41</v>
      </c>
      <c r="AB79" s="13" t="s">
        <v>41</v>
      </c>
      <c r="AC79" s="13" t="s">
        <v>43</v>
      </c>
      <c r="AD79" s="13" t="s">
        <v>41</v>
      </c>
      <c r="AE79" s="13" t="s">
        <v>41</v>
      </c>
      <c r="AF79" s="13" t="s">
        <v>43</v>
      </c>
      <c r="AG79" s="13" t="s">
        <v>44</v>
      </c>
    </row>
    <row r="80" spans="1:33" ht="15" customHeight="1" x14ac:dyDescent="0.3">
      <c r="A80" s="12" t="s">
        <v>207</v>
      </c>
      <c r="B80" s="12" t="s">
        <v>34</v>
      </c>
      <c r="C80" s="12" t="s">
        <v>70</v>
      </c>
      <c r="D80" s="12" t="s">
        <v>71</v>
      </c>
      <c r="E80" s="12" t="s">
        <v>66</v>
      </c>
      <c r="F80" s="12" t="s">
        <v>62</v>
      </c>
      <c r="G80" s="12" t="s">
        <v>79</v>
      </c>
      <c r="H80" s="12" t="s">
        <v>49</v>
      </c>
      <c r="I80" s="12" t="s">
        <v>43</v>
      </c>
      <c r="J80" s="12" t="s">
        <v>50</v>
      </c>
      <c r="K80" s="12" t="s">
        <v>43</v>
      </c>
      <c r="L80" s="12" t="s">
        <v>41</v>
      </c>
      <c r="M80" s="12" t="s">
        <v>41</v>
      </c>
      <c r="N80" s="12" t="s">
        <v>41</v>
      </c>
      <c r="O80" s="12" t="s">
        <v>41</v>
      </c>
      <c r="P80" s="12" t="s">
        <v>41</v>
      </c>
      <c r="Q80" s="12" t="s">
        <v>43</v>
      </c>
      <c r="R80" s="12" t="s">
        <v>41</v>
      </c>
      <c r="S80" s="12" t="s">
        <v>41</v>
      </c>
      <c r="T80" s="12" t="s">
        <v>41</v>
      </c>
      <c r="U80" s="12" t="s">
        <v>41</v>
      </c>
      <c r="V80" s="12" t="s">
        <v>43</v>
      </c>
      <c r="W80" s="12" t="s">
        <v>41</v>
      </c>
      <c r="X80" s="12" t="s">
        <v>41</v>
      </c>
      <c r="Y80" s="12" t="s">
        <v>41</v>
      </c>
      <c r="Z80" s="12" t="s">
        <v>41</v>
      </c>
      <c r="AA80" s="12" t="s">
        <v>41</v>
      </c>
      <c r="AB80" s="12" t="s">
        <v>41</v>
      </c>
      <c r="AC80" s="12" t="s">
        <v>41</v>
      </c>
      <c r="AD80" s="12" t="s">
        <v>41</v>
      </c>
      <c r="AE80" s="12" t="s">
        <v>43</v>
      </c>
      <c r="AF80" s="12" t="s">
        <v>43</v>
      </c>
      <c r="AG80" s="12" t="s">
        <v>44</v>
      </c>
    </row>
    <row r="81" spans="1:33" ht="15" customHeight="1" x14ac:dyDescent="0.3">
      <c r="A81" s="13" t="s">
        <v>208</v>
      </c>
      <c r="B81" s="13" t="s">
        <v>34</v>
      </c>
      <c r="C81" s="13" t="s">
        <v>59</v>
      </c>
      <c r="D81" s="13" t="s">
        <v>52</v>
      </c>
      <c r="E81" s="13" t="s">
        <v>186</v>
      </c>
      <c r="F81" s="13" t="s">
        <v>54</v>
      </c>
      <c r="G81" s="13" t="s">
        <v>114</v>
      </c>
      <c r="H81" s="13" t="s">
        <v>49</v>
      </c>
      <c r="I81" s="13" t="s">
        <v>41</v>
      </c>
      <c r="J81" s="13" t="s">
        <v>42</v>
      </c>
      <c r="K81" s="13" t="s">
        <v>43</v>
      </c>
      <c r="L81" s="13" t="s">
        <v>41</v>
      </c>
      <c r="M81" s="13" t="s">
        <v>41</v>
      </c>
      <c r="N81" s="13" t="s">
        <v>41</v>
      </c>
      <c r="O81" s="13" t="s">
        <v>43</v>
      </c>
      <c r="P81" s="13" t="s">
        <v>43</v>
      </c>
      <c r="Q81" s="13" t="s">
        <v>41</v>
      </c>
      <c r="R81" s="13" t="s">
        <v>41</v>
      </c>
      <c r="S81" s="13" t="s">
        <v>41</v>
      </c>
      <c r="T81" s="13" t="s">
        <v>41</v>
      </c>
      <c r="U81" s="13" t="s">
        <v>43</v>
      </c>
      <c r="V81" s="13" t="s">
        <v>43</v>
      </c>
      <c r="W81" s="13" t="s">
        <v>41</v>
      </c>
      <c r="X81" s="13" t="s">
        <v>41</v>
      </c>
      <c r="Y81" s="13" t="s">
        <v>43</v>
      </c>
      <c r="Z81" s="13" t="s">
        <v>43</v>
      </c>
      <c r="AA81" s="13" t="s">
        <v>41</v>
      </c>
      <c r="AB81" s="13" t="s">
        <v>41</v>
      </c>
      <c r="AC81" s="13" t="s">
        <v>41</v>
      </c>
      <c r="AD81" s="13" t="s">
        <v>43</v>
      </c>
      <c r="AE81" s="13" t="s">
        <v>41</v>
      </c>
      <c r="AF81" s="13" t="s">
        <v>43</v>
      </c>
      <c r="AG81" s="13" t="s">
        <v>44</v>
      </c>
    </row>
    <row r="82" spans="1:33" ht="15" customHeight="1" x14ac:dyDescent="0.3">
      <c r="A82" s="12" t="s">
        <v>209</v>
      </c>
      <c r="B82" s="12" t="s">
        <v>46</v>
      </c>
      <c r="C82" s="12" t="s">
        <v>44</v>
      </c>
      <c r="D82" s="12" t="s">
        <v>83</v>
      </c>
      <c r="E82" s="12" t="s">
        <v>196</v>
      </c>
      <c r="F82" s="12" t="s">
        <v>54</v>
      </c>
      <c r="G82" s="12" t="s">
        <v>150</v>
      </c>
      <c r="H82" s="12" t="s">
        <v>56</v>
      </c>
      <c r="I82" s="12" t="s">
        <v>43</v>
      </c>
      <c r="J82" s="12" t="s">
        <v>50</v>
      </c>
      <c r="K82" s="12" t="s">
        <v>41</v>
      </c>
      <c r="L82" s="12" t="s">
        <v>41</v>
      </c>
      <c r="M82" s="12" t="s">
        <v>41</v>
      </c>
      <c r="N82" s="12" t="s">
        <v>41</v>
      </c>
      <c r="O82" s="12" t="s">
        <v>41</v>
      </c>
      <c r="P82" s="12" t="s">
        <v>43</v>
      </c>
      <c r="Q82" s="12" t="s">
        <v>41</v>
      </c>
      <c r="R82" s="12" t="s">
        <v>41</v>
      </c>
      <c r="S82" s="12" t="s">
        <v>41</v>
      </c>
      <c r="T82" s="12" t="s">
        <v>41</v>
      </c>
      <c r="U82" s="12" t="s">
        <v>41</v>
      </c>
      <c r="V82" s="12" t="s">
        <v>43</v>
      </c>
      <c r="W82" s="12" t="s">
        <v>43</v>
      </c>
      <c r="X82" s="12" t="s">
        <v>41</v>
      </c>
      <c r="Y82" s="12" t="s">
        <v>43</v>
      </c>
      <c r="Z82" s="12" t="s">
        <v>41</v>
      </c>
      <c r="AA82" s="12" t="s">
        <v>41</v>
      </c>
      <c r="AB82" s="12" t="s">
        <v>41</v>
      </c>
      <c r="AC82" s="12" t="s">
        <v>41</v>
      </c>
      <c r="AD82" s="12" t="s">
        <v>41</v>
      </c>
      <c r="AE82" s="12" t="s">
        <v>41</v>
      </c>
      <c r="AF82" s="12" t="s">
        <v>43</v>
      </c>
      <c r="AG82" s="12" t="s">
        <v>57</v>
      </c>
    </row>
    <row r="83" spans="1:33" ht="15" customHeight="1" x14ac:dyDescent="0.3">
      <c r="A83" s="13" t="s">
        <v>210</v>
      </c>
      <c r="B83" s="13" t="s">
        <v>46</v>
      </c>
      <c r="C83" s="13" t="s">
        <v>44</v>
      </c>
      <c r="D83" s="13" t="s">
        <v>77</v>
      </c>
      <c r="E83" s="13" t="s">
        <v>145</v>
      </c>
      <c r="F83" s="13" t="s">
        <v>38</v>
      </c>
      <c r="G83" s="13" t="s">
        <v>73</v>
      </c>
      <c r="H83" s="13" t="s">
        <v>49</v>
      </c>
      <c r="I83" s="13" t="s">
        <v>41</v>
      </c>
      <c r="J83" s="13" t="s">
        <v>42</v>
      </c>
      <c r="K83" s="13" t="s">
        <v>41</v>
      </c>
      <c r="L83" s="13" t="s">
        <v>41</v>
      </c>
      <c r="M83" s="13" t="s">
        <v>41</v>
      </c>
      <c r="N83" s="13" t="s">
        <v>41</v>
      </c>
      <c r="O83" s="13" t="s">
        <v>41</v>
      </c>
      <c r="P83" s="13" t="s">
        <v>41</v>
      </c>
      <c r="Q83" s="13" t="s">
        <v>41</v>
      </c>
      <c r="R83" s="13" t="s">
        <v>41</v>
      </c>
      <c r="S83" s="13" t="s">
        <v>41</v>
      </c>
      <c r="T83" s="13" t="s">
        <v>41</v>
      </c>
      <c r="U83" s="13" t="s">
        <v>41</v>
      </c>
      <c r="V83" s="13" t="s">
        <v>41</v>
      </c>
      <c r="W83" s="13" t="s">
        <v>41</v>
      </c>
      <c r="X83" s="13" t="s">
        <v>41</v>
      </c>
      <c r="Y83" s="13" t="s">
        <v>41</v>
      </c>
      <c r="Z83" s="13" t="s">
        <v>41</v>
      </c>
      <c r="AA83" s="13" t="s">
        <v>41</v>
      </c>
      <c r="AB83" s="13" t="s">
        <v>41</v>
      </c>
      <c r="AC83" s="13" t="s">
        <v>41</v>
      </c>
      <c r="AD83" s="13" t="s">
        <v>43</v>
      </c>
      <c r="AE83" s="13" t="s">
        <v>43</v>
      </c>
      <c r="AF83" s="13" t="s">
        <v>41</v>
      </c>
      <c r="AG83" s="13" t="s">
        <v>44</v>
      </c>
    </row>
    <row r="84" spans="1:33" ht="15" customHeight="1" x14ac:dyDescent="0.3">
      <c r="A84" s="12" t="s">
        <v>211</v>
      </c>
      <c r="B84" s="12" t="s">
        <v>46</v>
      </c>
      <c r="C84" s="12" t="s">
        <v>44</v>
      </c>
      <c r="D84" s="12" t="s">
        <v>65</v>
      </c>
      <c r="E84" s="12" t="s">
        <v>212</v>
      </c>
      <c r="F84" s="12" t="s">
        <v>62</v>
      </c>
      <c r="G84" s="12" t="s">
        <v>48</v>
      </c>
      <c r="H84" s="12" t="s">
        <v>56</v>
      </c>
      <c r="I84" s="12" t="s">
        <v>43</v>
      </c>
      <c r="J84" s="12" t="s">
        <v>50</v>
      </c>
      <c r="K84" s="12" t="s">
        <v>41</v>
      </c>
      <c r="L84" s="12" t="s">
        <v>41</v>
      </c>
      <c r="M84" s="12" t="s">
        <v>43</v>
      </c>
      <c r="N84" s="12" t="s">
        <v>41</v>
      </c>
      <c r="O84" s="12" t="s">
        <v>41</v>
      </c>
      <c r="P84" s="12" t="s">
        <v>41</v>
      </c>
      <c r="Q84" s="12" t="s">
        <v>43</v>
      </c>
      <c r="R84" s="12" t="s">
        <v>41</v>
      </c>
      <c r="S84" s="12" t="s">
        <v>41</v>
      </c>
      <c r="T84" s="12" t="s">
        <v>43</v>
      </c>
      <c r="U84" s="12" t="s">
        <v>41</v>
      </c>
      <c r="V84" s="12" t="s">
        <v>41</v>
      </c>
      <c r="W84" s="12" t="s">
        <v>41</v>
      </c>
      <c r="X84" s="12" t="s">
        <v>41</v>
      </c>
      <c r="Y84" s="12" t="s">
        <v>41</v>
      </c>
      <c r="Z84" s="12" t="s">
        <v>41</v>
      </c>
      <c r="AA84" s="12" t="s">
        <v>41</v>
      </c>
      <c r="AB84" s="12" t="s">
        <v>41</v>
      </c>
      <c r="AC84" s="12" t="s">
        <v>43</v>
      </c>
      <c r="AD84" s="12" t="s">
        <v>41</v>
      </c>
      <c r="AE84" s="12" t="s">
        <v>41</v>
      </c>
      <c r="AF84" s="12" t="s">
        <v>41</v>
      </c>
      <c r="AG84" s="12" t="s">
        <v>57</v>
      </c>
    </row>
    <row r="85" spans="1:33" ht="15" customHeight="1" x14ac:dyDescent="0.3">
      <c r="A85" s="13" t="s">
        <v>213</v>
      </c>
      <c r="B85" s="13" t="s">
        <v>34</v>
      </c>
      <c r="C85" s="13" t="s">
        <v>70</v>
      </c>
      <c r="D85" s="13" t="s">
        <v>125</v>
      </c>
      <c r="E85" s="13" t="s">
        <v>159</v>
      </c>
      <c r="F85" s="13" t="s">
        <v>38</v>
      </c>
      <c r="G85" s="13" t="s">
        <v>154</v>
      </c>
      <c r="H85" s="13" t="s">
        <v>49</v>
      </c>
      <c r="I85" s="13" t="s">
        <v>41</v>
      </c>
      <c r="J85" s="13" t="s">
        <v>50</v>
      </c>
      <c r="K85" s="13" t="s">
        <v>41</v>
      </c>
      <c r="L85" s="13" t="s">
        <v>41</v>
      </c>
      <c r="M85" s="13" t="s">
        <v>41</v>
      </c>
      <c r="N85" s="13" t="s">
        <v>41</v>
      </c>
      <c r="O85" s="13" t="s">
        <v>41</v>
      </c>
      <c r="P85" s="13" t="s">
        <v>43</v>
      </c>
      <c r="Q85" s="13" t="s">
        <v>41</v>
      </c>
      <c r="R85" s="13" t="s">
        <v>43</v>
      </c>
      <c r="S85" s="13" t="s">
        <v>43</v>
      </c>
      <c r="T85" s="13" t="s">
        <v>41</v>
      </c>
      <c r="U85" s="13" t="s">
        <v>41</v>
      </c>
      <c r="V85" s="13" t="s">
        <v>41</v>
      </c>
      <c r="W85" s="13" t="s">
        <v>41</v>
      </c>
      <c r="X85" s="13" t="s">
        <v>41</v>
      </c>
      <c r="Y85" s="13" t="s">
        <v>41</v>
      </c>
      <c r="Z85" s="13" t="s">
        <v>41</v>
      </c>
      <c r="AA85" s="13" t="s">
        <v>41</v>
      </c>
      <c r="AB85" s="13" t="s">
        <v>41</v>
      </c>
      <c r="AC85" s="13" t="s">
        <v>43</v>
      </c>
      <c r="AD85" s="13" t="s">
        <v>41</v>
      </c>
      <c r="AE85" s="13" t="s">
        <v>41</v>
      </c>
      <c r="AF85" s="13" t="s">
        <v>43</v>
      </c>
      <c r="AG85" s="13" t="s">
        <v>44</v>
      </c>
    </row>
    <row r="86" spans="1:33" ht="15" customHeight="1" x14ac:dyDescent="0.3">
      <c r="A86" s="12" t="s">
        <v>214</v>
      </c>
      <c r="B86" s="12" t="s">
        <v>46</v>
      </c>
      <c r="C86" s="12" t="s">
        <v>44</v>
      </c>
      <c r="D86" s="12" t="s">
        <v>83</v>
      </c>
      <c r="E86" s="12" t="s">
        <v>142</v>
      </c>
      <c r="F86" s="12" t="s">
        <v>62</v>
      </c>
      <c r="G86" s="12" t="s">
        <v>39</v>
      </c>
      <c r="H86" s="12" t="s">
        <v>40</v>
      </c>
      <c r="I86" s="12" t="s">
        <v>41</v>
      </c>
      <c r="J86" s="12" t="s">
        <v>42</v>
      </c>
      <c r="K86" s="12" t="s">
        <v>43</v>
      </c>
      <c r="L86" s="12" t="s">
        <v>41</v>
      </c>
      <c r="M86" s="12" t="s">
        <v>41</v>
      </c>
      <c r="N86" s="12" t="s">
        <v>41</v>
      </c>
      <c r="O86" s="12" t="s">
        <v>41</v>
      </c>
      <c r="P86" s="12" t="s">
        <v>43</v>
      </c>
      <c r="Q86" s="12" t="s">
        <v>41</v>
      </c>
      <c r="R86" s="12" t="s">
        <v>41</v>
      </c>
      <c r="S86" s="12" t="s">
        <v>43</v>
      </c>
      <c r="T86" s="12" t="s">
        <v>41</v>
      </c>
      <c r="U86" s="12" t="s">
        <v>41</v>
      </c>
      <c r="V86" s="12" t="s">
        <v>41</v>
      </c>
      <c r="W86" s="12" t="s">
        <v>43</v>
      </c>
      <c r="X86" s="12" t="s">
        <v>41</v>
      </c>
      <c r="Y86" s="12" t="s">
        <v>43</v>
      </c>
      <c r="Z86" s="12" t="s">
        <v>43</v>
      </c>
      <c r="AA86" s="12" t="s">
        <v>41</v>
      </c>
      <c r="AB86" s="12" t="s">
        <v>43</v>
      </c>
      <c r="AC86" s="12" t="s">
        <v>41</v>
      </c>
      <c r="AD86" s="12" t="s">
        <v>43</v>
      </c>
      <c r="AE86" s="12" t="s">
        <v>43</v>
      </c>
      <c r="AF86" s="12" t="s">
        <v>43</v>
      </c>
      <c r="AG86" s="12" t="s">
        <v>44</v>
      </c>
    </row>
    <row r="87" spans="1:33" ht="15" customHeight="1" x14ac:dyDescent="0.3">
      <c r="A87" s="13" t="s">
        <v>215</v>
      </c>
      <c r="B87" s="13" t="s">
        <v>46</v>
      </c>
      <c r="C87" s="13" t="s">
        <v>44</v>
      </c>
      <c r="D87" s="13" t="s">
        <v>125</v>
      </c>
      <c r="E87" s="13" t="s">
        <v>216</v>
      </c>
      <c r="F87" s="13" t="s">
        <v>54</v>
      </c>
      <c r="G87" s="13" t="s">
        <v>104</v>
      </c>
      <c r="H87" s="13" t="s">
        <v>56</v>
      </c>
      <c r="I87" s="13" t="s">
        <v>43</v>
      </c>
      <c r="J87" s="13" t="s">
        <v>68</v>
      </c>
      <c r="K87" s="13" t="s">
        <v>41</v>
      </c>
      <c r="L87" s="13" t="s">
        <v>41</v>
      </c>
      <c r="M87" s="13" t="s">
        <v>43</v>
      </c>
      <c r="N87" s="13" t="s">
        <v>41</v>
      </c>
      <c r="O87" s="13" t="s">
        <v>43</v>
      </c>
      <c r="P87" s="13" t="s">
        <v>41</v>
      </c>
      <c r="Q87" s="13" t="s">
        <v>41</v>
      </c>
      <c r="R87" s="13" t="s">
        <v>41</v>
      </c>
      <c r="S87" s="13" t="s">
        <v>41</v>
      </c>
      <c r="T87" s="13" t="s">
        <v>41</v>
      </c>
      <c r="U87" s="13" t="s">
        <v>41</v>
      </c>
      <c r="V87" s="13" t="s">
        <v>41</v>
      </c>
      <c r="W87" s="13" t="s">
        <v>43</v>
      </c>
      <c r="X87" s="13" t="s">
        <v>41</v>
      </c>
      <c r="Y87" s="13" t="s">
        <v>41</v>
      </c>
      <c r="Z87" s="13" t="s">
        <v>41</v>
      </c>
      <c r="AA87" s="13" t="s">
        <v>41</v>
      </c>
      <c r="AB87" s="13" t="s">
        <v>43</v>
      </c>
      <c r="AC87" s="13" t="s">
        <v>43</v>
      </c>
      <c r="AD87" s="13" t="s">
        <v>41</v>
      </c>
      <c r="AE87" s="13" t="s">
        <v>43</v>
      </c>
      <c r="AF87" s="13" t="s">
        <v>43</v>
      </c>
      <c r="AG87" s="13" t="s">
        <v>57</v>
      </c>
    </row>
    <row r="88" spans="1:33" ht="15" customHeight="1" x14ac:dyDescent="0.3">
      <c r="A88" s="12" t="s">
        <v>217</v>
      </c>
      <c r="B88" s="12" t="s">
        <v>46</v>
      </c>
      <c r="C88" s="12" t="s">
        <v>44</v>
      </c>
      <c r="D88" s="12" t="s">
        <v>71</v>
      </c>
      <c r="E88" s="12" t="s">
        <v>126</v>
      </c>
      <c r="F88" s="12" t="s">
        <v>54</v>
      </c>
      <c r="G88" s="12" t="s">
        <v>154</v>
      </c>
      <c r="H88" s="12" t="s">
        <v>49</v>
      </c>
      <c r="I88" s="12" t="s">
        <v>41</v>
      </c>
      <c r="J88" s="12" t="s">
        <v>50</v>
      </c>
      <c r="K88" s="12" t="s">
        <v>43</v>
      </c>
      <c r="L88" s="12" t="s">
        <v>43</v>
      </c>
      <c r="M88" s="12" t="s">
        <v>41</v>
      </c>
      <c r="N88" s="12" t="s">
        <v>41</v>
      </c>
      <c r="O88" s="12" t="s">
        <v>41</v>
      </c>
      <c r="P88" s="12" t="s">
        <v>41</v>
      </c>
      <c r="Q88" s="12" t="s">
        <v>41</v>
      </c>
      <c r="R88" s="12" t="s">
        <v>43</v>
      </c>
      <c r="S88" s="12" t="s">
        <v>41</v>
      </c>
      <c r="T88" s="12" t="s">
        <v>43</v>
      </c>
      <c r="U88" s="12" t="s">
        <v>41</v>
      </c>
      <c r="V88" s="12" t="s">
        <v>41</v>
      </c>
      <c r="W88" s="12" t="s">
        <v>41</v>
      </c>
      <c r="X88" s="12" t="s">
        <v>41</v>
      </c>
      <c r="Y88" s="12" t="s">
        <v>41</v>
      </c>
      <c r="Z88" s="12" t="s">
        <v>41</v>
      </c>
      <c r="AA88" s="12" t="s">
        <v>41</v>
      </c>
      <c r="AB88" s="12" t="s">
        <v>43</v>
      </c>
      <c r="AC88" s="12" t="s">
        <v>41</v>
      </c>
      <c r="AD88" s="12" t="s">
        <v>41</v>
      </c>
      <c r="AE88" s="12" t="s">
        <v>43</v>
      </c>
      <c r="AF88" s="12" t="s">
        <v>43</v>
      </c>
      <c r="AG88" s="12" t="s">
        <v>44</v>
      </c>
    </row>
    <row r="89" spans="1:33" ht="15" customHeight="1" x14ac:dyDescent="0.3">
      <c r="A89" s="13" t="s">
        <v>218</v>
      </c>
      <c r="B89" s="13" t="s">
        <v>46</v>
      </c>
      <c r="C89" s="13" t="s">
        <v>44</v>
      </c>
      <c r="D89" s="13" t="s">
        <v>71</v>
      </c>
      <c r="E89" s="13" t="s">
        <v>170</v>
      </c>
      <c r="F89" s="13" t="s">
        <v>62</v>
      </c>
      <c r="G89" s="13" t="s">
        <v>111</v>
      </c>
      <c r="H89" s="13" t="s">
        <v>49</v>
      </c>
      <c r="I89" s="13" t="s">
        <v>41</v>
      </c>
      <c r="J89" s="13" t="s">
        <v>42</v>
      </c>
      <c r="K89" s="13" t="s">
        <v>41</v>
      </c>
      <c r="L89" s="13" t="s">
        <v>41</v>
      </c>
      <c r="M89" s="13" t="s">
        <v>41</v>
      </c>
      <c r="N89" s="13" t="s">
        <v>43</v>
      </c>
      <c r="O89" s="13" t="s">
        <v>43</v>
      </c>
      <c r="P89" s="13" t="s">
        <v>41</v>
      </c>
      <c r="Q89" s="13" t="s">
        <v>41</v>
      </c>
      <c r="R89" s="13" t="s">
        <v>41</v>
      </c>
      <c r="S89" s="13" t="s">
        <v>41</v>
      </c>
      <c r="T89" s="13" t="s">
        <v>43</v>
      </c>
      <c r="U89" s="13" t="s">
        <v>41</v>
      </c>
      <c r="V89" s="13" t="s">
        <v>41</v>
      </c>
      <c r="W89" s="13" t="s">
        <v>41</v>
      </c>
      <c r="X89" s="13" t="s">
        <v>41</v>
      </c>
      <c r="Y89" s="13" t="s">
        <v>43</v>
      </c>
      <c r="Z89" s="13" t="s">
        <v>43</v>
      </c>
      <c r="AA89" s="13" t="s">
        <v>41</v>
      </c>
      <c r="AB89" s="13" t="s">
        <v>41</v>
      </c>
      <c r="AC89" s="13" t="s">
        <v>41</v>
      </c>
      <c r="AD89" s="13" t="s">
        <v>43</v>
      </c>
      <c r="AE89" s="13" t="s">
        <v>43</v>
      </c>
      <c r="AF89" s="13" t="s">
        <v>41</v>
      </c>
      <c r="AG89" s="13" t="s">
        <v>44</v>
      </c>
    </row>
    <row r="90" spans="1:33" ht="15" customHeight="1" x14ac:dyDescent="0.3">
      <c r="A90" s="12" t="s">
        <v>219</v>
      </c>
      <c r="B90" s="12" t="s">
        <v>46</v>
      </c>
      <c r="C90" s="12" t="s">
        <v>44</v>
      </c>
      <c r="D90" s="12" t="s">
        <v>100</v>
      </c>
      <c r="E90" s="12" t="s">
        <v>220</v>
      </c>
      <c r="F90" s="12" t="s">
        <v>62</v>
      </c>
      <c r="G90" s="12" t="s">
        <v>119</v>
      </c>
      <c r="H90" s="12" t="s">
        <v>56</v>
      </c>
      <c r="I90" s="12" t="s">
        <v>43</v>
      </c>
      <c r="J90" s="12" t="s">
        <v>50</v>
      </c>
      <c r="K90" s="12" t="s">
        <v>41</v>
      </c>
      <c r="L90" s="12" t="s">
        <v>41</v>
      </c>
      <c r="M90" s="12" t="s">
        <v>41</v>
      </c>
      <c r="N90" s="12" t="s">
        <v>41</v>
      </c>
      <c r="O90" s="12" t="s">
        <v>41</v>
      </c>
      <c r="P90" s="12" t="s">
        <v>41</v>
      </c>
      <c r="Q90" s="12" t="s">
        <v>41</v>
      </c>
      <c r="R90" s="12" t="s">
        <v>41</v>
      </c>
      <c r="S90" s="12" t="s">
        <v>41</v>
      </c>
      <c r="T90" s="12" t="s">
        <v>41</v>
      </c>
      <c r="U90" s="12" t="s">
        <v>41</v>
      </c>
      <c r="V90" s="12" t="s">
        <v>41</v>
      </c>
      <c r="W90" s="12" t="s">
        <v>41</v>
      </c>
      <c r="X90" s="12" t="s">
        <v>43</v>
      </c>
      <c r="Y90" s="12" t="s">
        <v>43</v>
      </c>
      <c r="Z90" s="12" t="s">
        <v>41</v>
      </c>
      <c r="AA90" s="12" t="s">
        <v>41</v>
      </c>
      <c r="AB90" s="12" t="s">
        <v>43</v>
      </c>
      <c r="AC90" s="12" t="s">
        <v>43</v>
      </c>
      <c r="AD90" s="12" t="s">
        <v>41</v>
      </c>
      <c r="AE90" s="12" t="s">
        <v>43</v>
      </c>
      <c r="AF90" s="12" t="s">
        <v>41</v>
      </c>
      <c r="AG90" s="12" t="s">
        <v>120</v>
      </c>
    </row>
    <row r="91" spans="1:33" ht="15" customHeight="1" x14ac:dyDescent="0.3">
      <c r="A91" s="13" t="s">
        <v>221</v>
      </c>
      <c r="B91" s="13" t="s">
        <v>46</v>
      </c>
      <c r="C91" s="13" t="s">
        <v>44</v>
      </c>
      <c r="D91" s="13" t="s">
        <v>36</v>
      </c>
      <c r="E91" s="13" t="s">
        <v>161</v>
      </c>
      <c r="F91" s="13" t="s">
        <v>54</v>
      </c>
      <c r="G91" s="13" t="s">
        <v>79</v>
      </c>
      <c r="H91" s="13" t="s">
        <v>49</v>
      </c>
      <c r="I91" s="13" t="s">
        <v>41</v>
      </c>
      <c r="J91" s="13" t="s">
        <v>68</v>
      </c>
      <c r="K91" s="13" t="s">
        <v>43</v>
      </c>
      <c r="L91" s="13" t="s">
        <v>41</v>
      </c>
      <c r="M91" s="13" t="s">
        <v>41</v>
      </c>
      <c r="N91" s="13" t="s">
        <v>43</v>
      </c>
      <c r="O91" s="13" t="s">
        <v>43</v>
      </c>
      <c r="P91" s="13" t="s">
        <v>41</v>
      </c>
      <c r="Q91" s="13" t="s">
        <v>41</v>
      </c>
      <c r="R91" s="13" t="s">
        <v>43</v>
      </c>
      <c r="S91" s="13" t="s">
        <v>41</v>
      </c>
      <c r="T91" s="13" t="s">
        <v>41</v>
      </c>
      <c r="U91" s="13" t="s">
        <v>41</v>
      </c>
      <c r="V91" s="13" t="s">
        <v>41</v>
      </c>
      <c r="W91" s="13" t="s">
        <v>41</v>
      </c>
      <c r="X91" s="13" t="s">
        <v>43</v>
      </c>
      <c r="Y91" s="13" t="s">
        <v>41</v>
      </c>
      <c r="Z91" s="13" t="s">
        <v>41</v>
      </c>
      <c r="AA91" s="13" t="s">
        <v>41</v>
      </c>
      <c r="AB91" s="13" t="s">
        <v>43</v>
      </c>
      <c r="AC91" s="13" t="s">
        <v>41</v>
      </c>
      <c r="AD91" s="13" t="s">
        <v>41</v>
      </c>
      <c r="AE91" s="13" t="s">
        <v>41</v>
      </c>
      <c r="AF91" s="13" t="s">
        <v>43</v>
      </c>
      <c r="AG91" s="13" t="s">
        <v>44</v>
      </c>
    </row>
    <row r="92" spans="1:33" ht="15" customHeight="1" x14ac:dyDescent="0.3">
      <c r="A92" s="12" t="s">
        <v>222</v>
      </c>
      <c r="B92" s="12" t="s">
        <v>34</v>
      </c>
      <c r="C92" s="12" t="s">
        <v>129</v>
      </c>
      <c r="D92" s="12" t="s">
        <v>60</v>
      </c>
      <c r="E92" s="12" t="s">
        <v>136</v>
      </c>
      <c r="F92" s="12" t="s">
        <v>62</v>
      </c>
      <c r="G92" s="12" t="s">
        <v>150</v>
      </c>
      <c r="H92" s="12" t="s">
        <v>49</v>
      </c>
      <c r="I92" s="12" t="s">
        <v>41</v>
      </c>
      <c r="J92" s="12" t="s">
        <v>68</v>
      </c>
      <c r="K92" s="12" t="s">
        <v>43</v>
      </c>
      <c r="L92" s="12" t="s">
        <v>41</v>
      </c>
      <c r="M92" s="12" t="s">
        <v>41</v>
      </c>
      <c r="N92" s="12" t="s">
        <v>41</v>
      </c>
      <c r="O92" s="12" t="s">
        <v>41</v>
      </c>
      <c r="P92" s="12" t="s">
        <v>41</v>
      </c>
      <c r="Q92" s="12" t="s">
        <v>41</v>
      </c>
      <c r="R92" s="12" t="s">
        <v>41</v>
      </c>
      <c r="S92" s="12" t="s">
        <v>41</v>
      </c>
      <c r="T92" s="12" t="s">
        <v>41</v>
      </c>
      <c r="U92" s="12" t="s">
        <v>41</v>
      </c>
      <c r="V92" s="12" t="s">
        <v>41</v>
      </c>
      <c r="W92" s="12" t="s">
        <v>41</v>
      </c>
      <c r="X92" s="12" t="s">
        <v>43</v>
      </c>
      <c r="Y92" s="12" t="s">
        <v>41</v>
      </c>
      <c r="Z92" s="12" t="s">
        <v>41</v>
      </c>
      <c r="AA92" s="12" t="s">
        <v>41</v>
      </c>
      <c r="AB92" s="12" t="s">
        <v>41</v>
      </c>
      <c r="AC92" s="12" t="s">
        <v>43</v>
      </c>
      <c r="AD92" s="12" t="s">
        <v>41</v>
      </c>
      <c r="AE92" s="12" t="s">
        <v>41</v>
      </c>
      <c r="AF92" s="12" t="s">
        <v>41</v>
      </c>
      <c r="AG92" s="12" t="s">
        <v>44</v>
      </c>
    </row>
    <row r="93" spans="1:33" ht="15" customHeight="1" x14ac:dyDescent="0.3">
      <c r="A93" s="13" t="s">
        <v>223</v>
      </c>
      <c r="B93" s="13" t="s">
        <v>46</v>
      </c>
      <c r="C93" s="13" t="s">
        <v>44</v>
      </c>
      <c r="D93" s="13" t="s">
        <v>71</v>
      </c>
      <c r="E93" s="13" t="s">
        <v>191</v>
      </c>
      <c r="F93" s="13" t="s">
        <v>54</v>
      </c>
      <c r="G93" s="13" t="s">
        <v>114</v>
      </c>
      <c r="H93" s="13" t="s">
        <v>49</v>
      </c>
      <c r="I93" s="13" t="s">
        <v>41</v>
      </c>
      <c r="J93" s="13" t="s">
        <v>50</v>
      </c>
      <c r="K93" s="13" t="s">
        <v>41</v>
      </c>
      <c r="L93" s="13" t="s">
        <v>43</v>
      </c>
      <c r="M93" s="13" t="s">
        <v>41</v>
      </c>
      <c r="N93" s="13" t="s">
        <v>41</v>
      </c>
      <c r="O93" s="13" t="s">
        <v>41</v>
      </c>
      <c r="P93" s="13" t="s">
        <v>43</v>
      </c>
      <c r="Q93" s="13" t="s">
        <v>41</v>
      </c>
      <c r="R93" s="13" t="s">
        <v>41</v>
      </c>
      <c r="S93" s="13" t="s">
        <v>41</v>
      </c>
      <c r="T93" s="13" t="s">
        <v>41</v>
      </c>
      <c r="U93" s="13" t="s">
        <v>41</v>
      </c>
      <c r="V93" s="13" t="s">
        <v>41</v>
      </c>
      <c r="W93" s="13" t="s">
        <v>43</v>
      </c>
      <c r="X93" s="13" t="s">
        <v>41</v>
      </c>
      <c r="Y93" s="13" t="s">
        <v>41</v>
      </c>
      <c r="Z93" s="13" t="s">
        <v>43</v>
      </c>
      <c r="AA93" s="13" t="s">
        <v>41</v>
      </c>
      <c r="AB93" s="13" t="s">
        <v>43</v>
      </c>
      <c r="AC93" s="13" t="s">
        <v>43</v>
      </c>
      <c r="AD93" s="13" t="s">
        <v>41</v>
      </c>
      <c r="AE93" s="13" t="s">
        <v>41</v>
      </c>
      <c r="AF93" s="13" t="s">
        <v>43</v>
      </c>
      <c r="AG93" s="13" t="s">
        <v>44</v>
      </c>
    </row>
    <row r="94" spans="1:33" ht="15" customHeight="1" x14ac:dyDescent="0.3">
      <c r="A94" s="12" t="s">
        <v>224</v>
      </c>
      <c r="B94" s="12" t="s">
        <v>34</v>
      </c>
      <c r="C94" s="12" t="s">
        <v>109</v>
      </c>
      <c r="D94" s="12" t="s">
        <v>83</v>
      </c>
      <c r="E94" s="12" t="s">
        <v>140</v>
      </c>
      <c r="F94" s="12" t="s">
        <v>54</v>
      </c>
      <c r="G94" s="12" t="s">
        <v>63</v>
      </c>
      <c r="H94" s="12" t="s">
        <v>49</v>
      </c>
      <c r="I94" s="12" t="s">
        <v>43</v>
      </c>
      <c r="J94" s="12" t="s">
        <v>50</v>
      </c>
      <c r="K94" s="12" t="s">
        <v>41</v>
      </c>
      <c r="L94" s="12" t="s">
        <v>43</v>
      </c>
      <c r="M94" s="12" t="s">
        <v>41</v>
      </c>
      <c r="N94" s="12" t="s">
        <v>41</v>
      </c>
      <c r="O94" s="12" t="s">
        <v>41</v>
      </c>
      <c r="P94" s="12" t="s">
        <v>41</v>
      </c>
      <c r="Q94" s="12" t="s">
        <v>41</v>
      </c>
      <c r="R94" s="12" t="s">
        <v>41</v>
      </c>
      <c r="S94" s="12" t="s">
        <v>41</v>
      </c>
      <c r="T94" s="12" t="s">
        <v>43</v>
      </c>
      <c r="U94" s="12" t="s">
        <v>41</v>
      </c>
      <c r="V94" s="12" t="s">
        <v>41</v>
      </c>
      <c r="W94" s="12" t="s">
        <v>43</v>
      </c>
      <c r="X94" s="12" t="s">
        <v>41</v>
      </c>
      <c r="Y94" s="12" t="s">
        <v>43</v>
      </c>
      <c r="Z94" s="12" t="s">
        <v>41</v>
      </c>
      <c r="AA94" s="12" t="s">
        <v>41</v>
      </c>
      <c r="AB94" s="12" t="s">
        <v>41</v>
      </c>
      <c r="AC94" s="12" t="s">
        <v>41</v>
      </c>
      <c r="AD94" s="12" t="s">
        <v>41</v>
      </c>
      <c r="AE94" s="12" t="s">
        <v>43</v>
      </c>
      <c r="AF94" s="12" t="s">
        <v>41</v>
      </c>
      <c r="AG94" s="12" t="s">
        <v>44</v>
      </c>
    </row>
    <row r="95" spans="1:33" ht="15" customHeight="1" x14ac:dyDescent="0.3">
      <c r="A95" s="13" t="s">
        <v>225</v>
      </c>
      <c r="B95" s="13" t="s">
        <v>46</v>
      </c>
      <c r="C95" s="13" t="s">
        <v>44</v>
      </c>
      <c r="D95" s="13" t="s">
        <v>83</v>
      </c>
      <c r="E95" s="13" t="s">
        <v>81</v>
      </c>
      <c r="F95" s="13" t="s">
        <v>62</v>
      </c>
      <c r="G95" s="13" t="s">
        <v>150</v>
      </c>
      <c r="H95" s="13" t="s">
        <v>56</v>
      </c>
      <c r="I95" s="13" t="s">
        <v>43</v>
      </c>
      <c r="J95" s="13" t="s">
        <v>50</v>
      </c>
      <c r="K95" s="13" t="s">
        <v>43</v>
      </c>
      <c r="L95" s="13" t="s">
        <v>43</v>
      </c>
      <c r="M95" s="13" t="s">
        <v>43</v>
      </c>
      <c r="N95" s="13" t="s">
        <v>41</v>
      </c>
      <c r="O95" s="13" t="s">
        <v>41</v>
      </c>
      <c r="P95" s="13" t="s">
        <v>41</v>
      </c>
      <c r="Q95" s="13" t="s">
        <v>41</v>
      </c>
      <c r="R95" s="13" t="s">
        <v>41</v>
      </c>
      <c r="S95" s="13" t="s">
        <v>41</v>
      </c>
      <c r="T95" s="13" t="s">
        <v>41</v>
      </c>
      <c r="U95" s="13" t="s">
        <v>41</v>
      </c>
      <c r="V95" s="13" t="s">
        <v>41</v>
      </c>
      <c r="W95" s="13" t="s">
        <v>41</v>
      </c>
      <c r="X95" s="13" t="s">
        <v>41</v>
      </c>
      <c r="Y95" s="13" t="s">
        <v>43</v>
      </c>
      <c r="Z95" s="13" t="s">
        <v>43</v>
      </c>
      <c r="AA95" s="13" t="s">
        <v>41</v>
      </c>
      <c r="AB95" s="13" t="s">
        <v>41</v>
      </c>
      <c r="AC95" s="13" t="s">
        <v>43</v>
      </c>
      <c r="AD95" s="13" t="s">
        <v>41</v>
      </c>
      <c r="AE95" s="13" t="s">
        <v>41</v>
      </c>
      <c r="AF95" s="13" t="s">
        <v>41</v>
      </c>
      <c r="AG95" s="13" t="s">
        <v>57</v>
      </c>
    </row>
    <row r="96" spans="1:33" ht="15" customHeight="1" x14ac:dyDescent="0.3">
      <c r="A96" s="12" t="s">
        <v>226</v>
      </c>
      <c r="B96" s="12" t="s">
        <v>46</v>
      </c>
      <c r="C96" s="12" t="s">
        <v>44</v>
      </c>
      <c r="D96" s="12" t="s">
        <v>77</v>
      </c>
      <c r="E96" s="12" t="s">
        <v>201</v>
      </c>
      <c r="F96" s="12" t="s">
        <v>62</v>
      </c>
      <c r="G96" s="12" t="s">
        <v>63</v>
      </c>
      <c r="H96" s="12" t="s">
        <v>49</v>
      </c>
      <c r="I96" s="12" t="s">
        <v>41</v>
      </c>
      <c r="J96" s="12" t="s">
        <v>42</v>
      </c>
      <c r="K96" s="12" t="s">
        <v>41</v>
      </c>
      <c r="L96" s="12" t="s">
        <v>43</v>
      </c>
      <c r="M96" s="12" t="s">
        <v>41</v>
      </c>
      <c r="N96" s="12" t="s">
        <v>41</v>
      </c>
      <c r="O96" s="12" t="s">
        <v>43</v>
      </c>
      <c r="P96" s="12" t="s">
        <v>41</v>
      </c>
      <c r="Q96" s="12" t="s">
        <v>43</v>
      </c>
      <c r="R96" s="12" t="s">
        <v>41</v>
      </c>
      <c r="S96" s="12" t="s">
        <v>41</v>
      </c>
      <c r="T96" s="12" t="s">
        <v>41</v>
      </c>
      <c r="U96" s="12" t="s">
        <v>41</v>
      </c>
      <c r="V96" s="12" t="s">
        <v>41</v>
      </c>
      <c r="W96" s="12" t="s">
        <v>41</v>
      </c>
      <c r="X96" s="12" t="s">
        <v>41</v>
      </c>
      <c r="Y96" s="12" t="s">
        <v>41</v>
      </c>
      <c r="Z96" s="12" t="s">
        <v>41</v>
      </c>
      <c r="AA96" s="12" t="s">
        <v>41</v>
      </c>
      <c r="AB96" s="12" t="s">
        <v>43</v>
      </c>
      <c r="AC96" s="12" t="s">
        <v>43</v>
      </c>
      <c r="AD96" s="12" t="s">
        <v>43</v>
      </c>
      <c r="AE96" s="12" t="s">
        <v>43</v>
      </c>
      <c r="AF96" s="12" t="s">
        <v>43</v>
      </c>
      <c r="AG96" s="12" t="s">
        <v>44</v>
      </c>
    </row>
    <row r="97" spans="1:33" ht="15" customHeight="1" x14ac:dyDescent="0.3">
      <c r="A97" s="13" t="s">
        <v>227</v>
      </c>
      <c r="B97" s="13" t="s">
        <v>34</v>
      </c>
      <c r="C97" s="13" t="s">
        <v>109</v>
      </c>
      <c r="D97" s="13" t="s">
        <v>71</v>
      </c>
      <c r="E97" s="13" t="s">
        <v>168</v>
      </c>
      <c r="F97" s="13" t="s">
        <v>38</v>
      </c>
      <c r="G97" s="13" t="s">
        <v>73</v>
      </c>
      <c r="H97" s="13" t="s">
        <v>49</v>
      </c>
      <c r="I97" s="13" t="s">
        <v>41</v>
      </c>
      <c r="J97" s="13" t="s">
        <v>42</v>
      </c>
      <c r="K97" s="13" t="s">
        <v>43</v>
      </c>
      <c r="L97" s="13" t="s">
        <v>41</v>
      </c>
      <c r="M97" s="13" t="s">
        <v>41</v>
      </c>
      <c r="N97" s="13" t="s">
        <v>41</v>
      </c>
      <c r="O97" s="13" t="s">
        <v>43</v>
      </c>
      <c r="P97" s="13" t="s">
        <v>43</v>
      </c>
      <c r="Q97" s="13" t="s">
        <v>41</v>
      </c>
      <c r="R97" s="13" t="s">
        <v>41</v>
      </c>
      <c r="S97" s="13" t="s">
        <v>41</v>
      </c>
      <c r="T97" s="13" t="s">
        <v>41</v>
      </c>
      <c r="U97" s="13" t="s">
        <v>41</v>
      </c>
      <c r="V97" s="13" t="s">
        <v>41</v>
      </c>
      <c r="W97" s="13" t="s">
        <v>43</v>
      </c>
      <c r="X97" s="13" t="s">
        <v>41</v>
      </c>
      <c r="Y97" s="13" t="s">
        <v>41</v>
      </c>
      <c r="Z97" s="13" t="s">
        <v>43</v>
      </c>
      <c r="AA97" s="13" t="s">
        <v>41</v>
      </c>
      <c r="AB97" s="13" t="s">
        <v>41</v>
      </c>
      <c r="AC97" s="13" t="s">
        <v>41</v>
      </c>
      <c r="AD97" s="13" t="s">
        <v>43</v>
      </c>
      <c r="AE97" s="13" t="s">
        <v>41</v>
      </c>
      <c r="AF97" s="13" t="s">
        <v>43</v>
      </c>
      <c r="AG97" s="13" t="s">
        <v>44</v>
      </c>
    </row>
    <row r="98" spans="1:33" ht="15" customHeight="1" x14ac:dyDescent="0.3">
      <c r="A98" s="12" t="s">
        <v>228</v>
      </c>
      <c r="B98" s="12" t="s">
        <v>46</v>
      </c>
      <c r="C98" s="12" t="s">
        <v>44</v>
      </c>
      <c r="D98" s="12" t="s">
        <v>36</v>
      </c>
      <c r="E98" s="12" t="s">
        <v>75</v>
      </c>
      <c r="F98" s="12" t="s">
        <v>62</v>
      </c>
      <c r="G98" s="12" t="s">
        <v>154</v>
      </c>
      <c r="H98" s="12" t="s">
        <v>56</v>
      </c>
      <c r="I98" s="12" t="s">
        <v>43</v>
      </c>
      <c r="J98" s="12" t="s">
        <v>50</v>
      </c>
      <c r="K98" s="12" t="s">
        <v>41</v>
      </c>
      <c r="L98" s="12" t="s">
        <v>41</v>
      </c>
      <c r="M98" s="12" t="s">
        <v>41</v>
      </c>
      <c r="N98" s="12" t="s">
        <v>41</v>
      </c>
      <c r="O98" s="12" t="s">
        <v>41</v>
      </c>
      <c r="P98" s="12" t="s">
        <v>41</v>
      </c>
      <c r="Q98" s="12" t="s">
        <v>41</v>
      </c>
      <c r="R98" s="12" t="s">
        <v>43</v>
      </c>
      <c r="S98" s="12" t="s">
        <v>41</v>
      </c>
      <c r="T98" s="12" t="s">
        <v>43</v>
      </c>
      <c r="U98" s="12" t="s">
        <v>43</v>
      </c>
      <c r="V98" s="12" t="s">
        <v>41</v>
      </c>
      <c r="W98" s="12" t="s">
        <v>41</v>
      </c>
      <c r="X98" s="12" t="s">
        <v>41</v>
      </c>
      <c r="Y98" s="12" t="s">
        <v>43</v>
      </c>
      <c r="Z98" s="12" t="s">
        <v>41</v>
      </c>
      <c r="AA98" s="12" t="s">
        <v>43</v>
      </c>
      <c r="AB98" s="12" t="s">
        <v>43</v>
      </c>
      <c r="AC98" s="12" t="s">
        <v>43</v>
      </c>
      <c r="AD98" s="12" t="s">
        <v>41</v>
      </c>
      <c r="AE98" s="12" t="s">
        <v>41</v>
      </c>
      <c r="AF98" s="12" t="s">
        <v>41</v>
      </c>
      <c r="AG98" s="12" t="s">
        <v>57</v>
      </c>
    </row>
    <row r="99" spans="1:33" ht="15" customHeight="1" x14ac:dyDescent="0.3">
      <c r="A99" s="13" t="s">
        <v>229</v>
      </c>
      <c r="B99" s="13" t="s">
        <v>46</v>
      </c>
      <c r="C99" s="13" t="s">
        <v>44</v>
      </c>
      <c r="D99" s="13" t="s">
        <v>77</v>
      </c>
      <c r="E99" s="13" t="s">
        <v>204</v>
      </c>
      <c r="F99" s="13" t="s">
        <v>62</v>
      </c>
      <c r="G99" s="13" t="s">
        <v>39</v>
      </c>
      <c r="H99" s="13" t="s">
        <v>56</v>
      </c>
      <c r="I99" s="13" t="s">
        <v>43</v>
      </c>
      <c r="J99" s="13" t="s">
        <v>42</v>
      </c>
      <c r="K99" s="13" t="s">
        <v>41</v>
      </c>
      <c r="L99" s="13" t="s">
        <v>41</v>
      </c>
      <c r="M99" s="13" t="s">
        <v>41</v>
      </c>
      <c r="N99" s="13" t="s">
        <v>41</v>
      </c>
      <c r="O99" s="13" t="s">
        <v>43</v>
      </c>
      <c r="P99" s="13" t="s">
        <v>41</v>
      </c>
      <c r="Q99" s="13" t="s">
        <v>41</v>
      </c>
      <c r="R99" s="13" t="s">
        <v>41</v>
      </c>
      <c r="S99" s="13" t="s">
        <v>41</v>
      </c>
      <c r="T99" s="13" t="s">
        <v>41</v>
      </c>
      <c r="U99" s="13" t="s">
        <v>41</v>
      </c>
      <c r="V99" s="13" t="s">
        <v>41</v>
      </c>
      <c r="W99" s="13" t="s">
        <v>43</v>
      </c>
      <c r="X99" s="13" t="s">
        <v>41</v>
      </c>
      <c r="Y99" s="13" t="s">
        <v>43</v>
      </c>
      <c r="Z99" s="13" t="s">
        <v>41</v>
      </c>
      <c r="AA99" s="13" t="s">
        <v>41</v>
      </c>
      <c r="AB99" s="13" t="s">
        <v>43</v>
      </c>
      <c r="AC99" s="13" t="s">
        <v>43</v>
      </c>
      <c r="AD99" s="13" t="s">
        <v>43</v>
      </c>
      <c r="AE99" s="13" t="s">
        <v>43</v>
      </c>
      <c r="AF99" s="13" t="s">
        <v>41</v>
      </c>
      <c r="AG99" s="13" t="s">
        <v>230</v>
      </c>
    </row>
    <row r="100" spans="1:33" ht="15" customHeight="1" x14ac:dyDescent="0.3">
      <c r="A100" s="12" t="s">
        <v>231</v>
      </c>
      <c r="B100" s="12" t="s">
        <v>46</v>
      </c>
      <c r="C100" s="12" t="s">
        <v>44</v>
      </c>
      <c r="D100" s="12" t="s">
        <v>86</v>
      </c>
      <c r="E100" s="12" t="s">
        <v>37</v>
      </c>
      <c r="F100" s="12" t="s">
        <v>54</v>
      </c>
      <c r="G100" s="12" t="s">
        <v>73</v>
      </c>
      <c r="H100" s="12" t="s">
        <v>56</v>
      </c>
      <c r="I100" s="12" t="s">
        <v>43</v>
      </c>
      <c r="J100" s="12" t="s">
        <v>68</v>
      </c>
      <c r="K100" s="12" t="s">
        <v>41</v>
      </c>
      <c r="L100" s="12" t="s">
        <v>41</v>
      </c>
      <c r="M100" s="12" t="s">
        <v>41</v>
      </c>
      <c r="N100" s="12" t="s">
        <v>41</v>
      </c>
      <c r="O100" s="12" t="s">
        <v>43</v>
      </c>
      <c r="P100" s="12" t="s">
        <v>41</v>
      </c>
      <c r="Q100" s="12" t="s">
        <v>43</v>
      </c>
      <c r="R100" s="12" t="s">
        <v>41</v>
      </c>
      <c r="S100" s="12" t="s">
        <v>41</v>
      </c>
      <c r="T100" s="12" t="s">
        <v>41</v>
      </c>
      <c r="U100" s="12" t="s">
        <v>43</v>
      </c>
      <c r="V100" s="12" t="s">
        <v>41</v>
      </c>
      <c r="W100" s="12" t="s">
        <v>41</v>
      </c>
      <c r="X100" s="12" t="s">
        <v>41</v>
      </c>
      <c r="Y100" s="12" t="s">
        <v>41</v>
      </c>
      <c r="Z100" s="12" t="s">
        <v>41</v>
      </c>
      <c r="AA100" s="12" t="s">
        <v>41</v>
      </c>
      <c r="AB100" s="12" t="s">
        <v>41</v>
      </c>
      <c r="AC100" s="12" t="s">
        <v>41</v>
      </c>
      <c r="AD100" s="12" t="s">
        <v>41</v>
      </c>
      <c r="AE100" s="12" t="s">
        <v>41</v>
      </c>
      <c r="AF100" s="12" t="s">
        <v>43</v>
      </c>
      <c r="AG100" s="12" t="s">
        <v>57</v>
      </c>
    </row>
    <row r="101" spans="1:33" ht="15" customHeight="1" x14ac:dyDescent="0.3">
      <c r="A101" s="13" t="s">
        <v>232</v>
      </c>
      <c r="B101" s="13" t="s">
        <v>46</v>
      </c>
      <c r="C101" s="13" t="s">
        <v>44</v>
      </c>
      <c r="D101" s="13" t="s">
        <v>77</v>
      </c>
      <c r="E101" s="13" t="s">
        <v>159</v>
      </c>
      <c r="F101" s="13" t="s">
        <v>38</v>
      </c>
      <c r="G101" s="13" t="s">
        <v>79</v>
      </c>
      <c r="H101" s="13" t="s">
        <v>49</v>
      </c>
      <c r="I101" s="13" t="s">
        <v>41</v>
      </c>
      <c r="J101" s="13" t="s">
        <v>50</v>
      </c>
      <c r="K101" s="13" t="s">
        <v>41</v>
      </c>
      <c r="L101" s="13" t="s">
        <v>43</v>
      </c>
      <c r="M101" s="13" t="s">
        <v>43</v>
      </c>
      <c r="N101" s="13" t="s">
        <v>43</v>
      </c>
      <c r="O101" s="13" t="s">
        <v>41</v>
      </c>
      <c r="P101" s="13" t="s">
        <v>43</v>
      </c>
      <c r="Q101" s="13" t="s">
        <v>41</v>
      </c>
      <c r="R101" s="13" t="s">
        <v>41</v>
      </c>
      <c r="S101" s="13" t="s">
        <v>41</v>
      </c>
      <c r="T101" s="13" t="s">
        <v>41</v>
      </c>
      <c r="U101" s="13" t="s">
        <v>41</v>
      </c>
      <c r="V101" s="13" t="s">
        <v>41</v>
      </c>
      <c r="W101" s="13" t="s">
        <v>41</v>
      </c>
      <c r="X101" s="13" t="s">
        <v>41</v>
      </c>
      <c r="Y101" s="13" t="s">
        <v>41</v>
      </c>
      <c r="Z101" s="13" t="s">
        <v>41</v>
      </c>
      <c r="AA101" s="13" t="s">
        <v>41</v>
      </c>
      <c r="AB101" s="13" t="s">
        <v>43</v>
      </c>
      <c r="AC101" s="13" t="s">
        <v>43</v>
      </c>
      <c r="AD101" s="13" t="s">
        <v>41</v>
      </c>
      <c r="AE101" s="13" t="s">
        <v>41</v>
      </c>
      <c r="AF101" s="13" t="s">
        <v>41</v>
      </c>
      <c r="AG101" s="13" t="s">
        <v>44</v>
      </c>
    </row>
  </sheetData>
  <autoFilter ref="A1:AG1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"/>
  <sheetViews>
    <sheetView tabSelected="1" topLeftCell="H1" zoomScale="63" zoomScaleNormal="115" workbookViewId="0">
      <pane ySplit="2" topLeftCell="A21" activePane="bottomLeft" state="frozen"/>
      <selection pane="bottomLeft" activeCell="N48" sqref="N48"/>
    </sheetView>
  </sheetViews>
  <sheetFormatPr defaultColWidth="8.6640625" defaultRowHeight="14.4" x14ac:dyDescent="0.3"/>
  <cols>
    <col min="1" max="1" width="35" customWidth="1"/>
    <col min="2" max="4" width="14" customWidth="1"/>
    <col min="5" max="5" width="2" customWidth="1"/>
    <col min="6" max="6" width="38" customWidth="1"/>
    <col min="7" max="7" width="12" customWidth="1"/>
    <col min="8" max="8" width="14" customWidth="1"/>
  </cols>
  <sheetData>
    <row r="1" spans="1:24" ht="30" customHeight="1" x14ac:dyDescent="0.3">
      <c r="A1" s="10" t="s">
        <v>233</v>
      </c>
      <c r="B1" s="10"/>
      <c r="C1" s="10"/>
      <c r="D1" s="10"/>
      <c r="E1" s="10"/>
      <c r="F1" s="10"/>
      <c r="G1" s="10"/>
      <c r="H1" s="10"/>
      <c r="I1" s="10" t="s">
        <v>233</v>
      </c>
      <c r="J1" s="10"/>
      <c r="K1" s="10"/>
      <c r="L1" s="10"/>
      <c r="M1" s="10"/>
      <c r="N1" s="10"/>
      <c r="O1" s="10"/>
      <c r="P1" s="10"/>
      <c r="Q1" s="10" t="s">
        <v>233</v>
      </c>
      <c r="R1" s="10"/>
      <c r="S1" s="10"/>
      <c r="T1" s="10"/>
      <c r="U1" s="10"/>
      <c r="V1" s="10"/>
      <c r="W1" s="10"/>
      <c r="X1" s="10"/>
    </row>
    <row r="2" spans="1:24" ht="15" customHeight="1" x14ac:dyDescent="0.3">
      <c r="A2" s="9" t="s">
        <v>234</v>
      </c>
      <c r="B2" s="9"/>
      <c r="C2" s="9"/>
      <c r="D2" s="9"/>
      <c r="E2" s="9"/>
      <c r="F2" s="9"/>
      <c r="G2" s="9"/>
      <c r="H2" s="9"/>
    </row>
    <row r="4" spans="1:24" ht="19.5" customHeight="1" x14ac:dyDescent="0.3">
      <c r="A4" s="8" t="s">
        <v>235</v>
      </c>
      <c r="B4" s="8"/>
      <c r="C4" s="8"/>
      <c r="D4" s="8"/>
      <c r="F4" s="48" t="s">
        <v>261</v>
      </c>
      <c r="G4" s="7"/>
      <c r="H4" s="7"/>
    </row>
    <row r="5" spans="1:24" ht="15" customHeight="1" x14ac:dyDescent="0.3">
      <c r="A5" s="14" t="s">
        <v>236</v>
      </c>
      <c r="B5" s="15">
        <f>COUNTA(Raw_Data!A2:A101)</f>
        <v>100</v>
      </c>
      <c r="F5" s="16" t="s">
        <v>237</v>
      </c>
      <c r="G5" s="16" t="s">
        <v>238</v>
      </c>
      <c r="H5" s="16" t="s">
        <v>239</v>
      </c>
    </row>
    <row r="6" spans="1:24" ht="15" customHeight="1" x14ac:dyDescent="0.3">
      <c r="A6" s="14" t="s">
        <v>40</v>
      </c>
      <c r="B6" s="15">
        <f>COUNTIF(Raw_Data!H2:H101,"Enrolled")</f>
        <v>18</v>
      </c>
      <c r="F6" s="17" t="s">
        <v>11</v>
      </c>
      <c r="G6" s="18">
        <f>COUNTIF(Raw_Data!L2:L101,"Yes")</f>
        <v>31</v>
      </c>
      <c r="H6" s="19">
        <f>IFERROR(G6/B5,0)</f>
        <v>0.31</v>
      </c>
    </row>
    <row r="7" spans="1:24" ht="15" customHeight="1" x14ac:dyDescent="0.3">
      <c r="A7" s="14" t="s">
        <v>49</v>
      </c>
      <c r="B7" s="15">
        <f>COUNTIF(Raw_Data!H2:H101,"Lost")</f>
        <v>48</v>
      </c>
      <c r="F7" s="17" t="s">
        <v>12</v>
      </c>
      <c r="G7" s="18">
        <f>COUNTIF(Raw_Data!M2:M101,"Yes")</f>
        <v>25</v>
      </c>
      <c r="H7" s="19">
        <f>IFERROR(G7/B5,0)</f>
        <v>0.25</v>
      </c>
    </row>
    <row r="8" spans="1:24" ht="15" customHeight="1" x14ac:dyDescent="0.3">
      <c r="A8" s="14" t="s">
        <v>240</v>
      </c>
      <c r="B8" s="15">
        <f>COUNTIF(Raw_Data!H2:H101,"Follow-up pending")</f>
        <v>34</v>
      </c>
      <c r="F8" s="17" t="s">
        <v>13</v>
      </c>
      <c r="G8" s="18">
        <f>COUNTIF(Raw_Data!N2:N101,"Yes")</f>
        <v>20</v>
      </c>
      <c r="H8" s="19">
        <f>IFERROR(G8/B5,0)</f>
        <v>0.2</v>
      </c>
    </row>
    <row r="9" spans="1:24" ht="15" customHeight="1" x14ac:dyDescent="0.3">
      <c r="A9" s="14" t="s">
        <v>241</v>
      </c>
      <c r="B9" s="20">
        <f>IFERROR(B6/B5,0)</f>
        <v>0.18</v>
      </c>
      <c r="F9" s="17" t="s">
        <v>14</v>
      </c>
      <c r="G9" s="18">
        <f>COUNTIF(Raw_Data!O2:O101,"Yes")</f>
        <v>27</v>
      </c>
      <c r="H9" s="19">
        <f>IFERROR(G9/B5,0)</f>
        <v>0.27</v>
      </c>
    </row>
    <row r="10" spans="1:24" ht="15" customHeight="1" x14ac:dyDescent="0.3">
      <c r="A10" s="14" t="s">
        <v>242</v>
      </c>
      <c r="B10" s="20">
        <f>IFERROR(COUNTIF(Raw_Data!L2:AA101,"Yes")/(COUNTA(Raw_Data!A2:A101)*16),0)</f>
        <v>0.21124999999999999</v>
      </c>
      <c r="F10" s="17" t="s">
        <v>15</v>
      </c>
      <c r="G10" s="18">
        <f>COUNTIF(Raw_Data!P2:P101,"Yes")</f>
        <v>33</v>
      </c>
      <c r="H10" s="19">
        <f>IFERROR(G10/B5,0)</f>
        <v>0.33</v>
      </c>
    </row>
    <row r="11" spans="1:24" ht="15" customHeight="1" x14ac:dyDescent="0.3">
      <c r="F11" s="17" t="s">
        <v>16</v>
      </c>
      <c r="G11" s="18">
        <f>COUNTIF(Raw_Data!Q2:Q101,"Yes")</f>
        <v>18</v>
      </c>
      <c r="H11" s="19">
        <f>IFERROR(G11/B5,0)</f>
        <v>0.18</v>
      </c>
    </row>
    <row r="12" spans="1:24" ht="15" customHeight="1" x14ac:dyDescent="0.3">
      <c r="F12" s="17" t="s">
        <v>17</v>
      </c>
      <c r="G12" s="18">
        <f>COUNTIF(Raw_Data!R2:R101,"Yes")</f>
        <v>18</v>
      </c>
      <c r="H12" s="19">
        <f>IFERROR(G12/B5,0)</f>
        <v>0.18</v>
      </c>
    </row>
    <row r="13" spans="1:24" ht="15" customHeight="1" x14ac:dyDescent="0.3">
      <c r="A13" s="8" t="s">
        <v>243</v>
      </c>
      <c r="B13" s="8"/>
      <c r="C13" s="8"/>
      <c r="D13" s="8"/>
      <c r="F13" s="17" t="s">
        <v>18</v>
      </c>
      <c r="G13" s="18">
        <f>COUNTIF(Raw_Data!S2:S101,"Yes")</f>
        <v>11</v>
      </c>
      <c r="H13" s="19">
        <f>IFERROR(G13/B5,0)</f>
        <v>0.11</v>
      </c>
    </row>
    <row r="14" spans="1:24" ht="15" customHeight="1" x14ac:dyDescent="0.3">
      <c r="A14" s="21" t="s">
        <v>244</v>
      </c>
      <c r="B14" s="21" t="s">
        <v>245</v>
      </c>
      <c r="C14" s="21" t="s">
        <v>246</v>
      </c>
      <c r="F14" s="17" t="s">
        <v>19</v>
      </c>
      <c r="G14" s="18">
        <f>COUNTIF(Raw_Data!T2:T101,"Yes")</f>
        <v>22</v>
      </c>
      <c r="H14" s="19">
        <f>IFERROR(G14/B5,0)</f>
        <v>0.22</v>
      </c>
    </row>
    <row r="15" spans="1:24" ht="15" customHeight="1" x14ac:dyDescent="0.3">
      <c r="A15" s="22" t="s">
        <v>247</v>
      </c>
      <c r="B15" s="23">
        <f>B5</f>
        <v>100</v>
      </c>
      <c r="C15" s="24">
        <f ca="1">IFERROR(C15/B15,0)</f>
        <v>0</v>
      </c>
      <c r="F15" s="17" t="s">
        <v>20</v>
      </c>
      <c r="G15" s="18">
        <f>COUNTIF(Raw_Data!U2:U101,"Yes")</f>
        <v>13</v>
      </c>
      <c r="H15" s="19">
        <f>IFERROR(G15/B5,0)</f>
        <v>0.13</v>
      </c>
    </row>
    <row r="16" spans="1:24" ht="15" customHeight="1" x14ac:dyDescent="0.3">
      <c r="A16" s="25" t="s">
        <v>248</v>
      </c>
      <c r="B16" s="26">
        <f>COUNTIF(Raw_Data!F2:F101,"Interested")+COUNTIF(Raw_Data!F2:F101,"Callback requested")</f>
        <v>70</v>
      </c>
      <c r="C16" s="27">
        <f ca="1">IFERROR(C16/B15,0)</f>
        <v>0</v>
      </c>
      <c r="F16" s="17" t="s">
        <v>21</v>
      </c>
      <c r="G16" s="18">
        <f>COUNTIF(Raw_Data!V2:V101,"Yes")</f>
        <v>8</v>
      </c>
      <c r="H16" s="19">
        <f>IFERROR(G16/B5,0)</f>
        <v>0.08</v>
      </c>
    </row>
    <row r="17" spans="1:8" ht="15" customHeight="1" x14ac:dyDescent="0.3">
      <c r="A17" s="28" t="s">
        <v>240</v>
      </c>
      <c r="B17" s="29">
        <f>B8</f>
        <v>34</v>
      </c>
      <c r="C17" s="30">
        <f ca="1">IFERROR(C17/B15,0)</f>
        <v>0</v>
      </c>
      <c r="F17" s="17" t="s">
        <v>22</v>
      </c>
      <c r="G17" s="18">
        <f>COUNTIF(Raw_Data!W2:W101,"Yes")</f>
        <v>28</v>
      </c>
      <c r="H17" s="19">
        <f>IFERROR(G17/B5,0)</f>
        <v>0.28000000000000003</v>
      </c>
    </row>
    <row r="18" spans="1:8" ht="15" customHeight="1" x14ac:dyDescent="0.3">
      <c r="A18" s="31" t="s">
        <v>40</v>
      </c>
      <c r="B18" s="18">
        <f>B6</f>
        <v>18</v>
      </c>
      <c r="C18" s="19">
        <f ca="1">IFERROR(C18/B15,0)</f>
        <v>0</v>
      </c>
      <c r="F18" s="17" t="s">
        <v>23</v>
      </c>
      <c r="G18" s="18">
        <f>COUNTIF(Raw_Data!X2:X101,"Yes")</f>
        <v>23</v>
      </c>
      <c r="H18" s="19">
        <f>IFERROR(G18/B5,0)</f>
        <v>0.23</v>
      </c>
    </row>
    <row r="19" spans="1:8" ht="15" customHeight="1" x14ac:dyDescent="0.3">
      <c r="F19" s="17" t="s">
        <v>24</v>
      </c>
      <c r="G19" s="18">
        <f>COUNTIF(Raw_Data!Y2:Y101,"Yes")</f>
        <v>34</v>
      </c>
      <c r="H19" s="19">
        <f>IFERROR(G19/B5,0)</f>
        <v>0.34</v>
      </c>
    </row>
    <row r="20" spans="1:8" ht="15" customHeight="1" x14ac:dyDescent="0.3">
      <c r="A20" s="6" t="s">
        <v>249</v>
      </c>
      <c r="B20" s="6"/>
      <c r="C20" s="6"/>
      <c r="D20" s="6"/>
      <c r="F20" s="17" t="s">
        <v>25</v>
      </c>
      <c r="G20" s="18">
        <f>COUNTIF(Raw_Data!Z2:Z101,"Yes")</f>
        <v>20</v>
      </c>
      <c r="H20" s="19">
        <f>IFERROR(G20/B5,0)</f>
        <v>0.2</v>
      </c>
    </row>
    <row r="21" spans="1:8" ht="23.25" customHeight="1" x14ac:dyDescent="0.3">
      <c r="A21" s="16" t="s">
        <v>250</v>
      </c>
      <c r="B21" s="16" t="s">
        <v>245</v>
      </c>
      <c r="C21" s="16" t="s">
        <v>251</v>
      </c>
      <c r="F21" s="17" t="s">
        <v>26</v>
      </c>
      <c r="G21" s="18">
        <f>COUNTIF(Raw_Data!AA2:AA101,"Yes")</f>
        <v>7</v>
      </c>
      <c r="H21" s="19">
        <f>IFERROR(G21/B5,0)</f>
        <v>7.0000000000000007E-2</v>
      </c>
    </row>
    <row r="22" spans="1:8" ht="15" customHeight="1" x14ac:dyDescent="0.3">
      <c r="A22" s="32" t="s">
        <v>120</v>
      </c>
      <c r="B22" s="18">
        <f>COUNTIF(Raw_Data!AG2:AG101,"High")</f>
        <v>13</v>
      </c>
      <c r="C22" s="19">
        <f>IFERROR(B22/B8,0)</f>
        <v>0.38235294117647056</v>
      </c>
      <c r="F22" s="5" t="s">
        <v>252</v>
      </c>
      <c r="G22" s="5"/>
      <c r="H22" s="5"/>
    </row>
    <row r="23" spans="1:8" ht="15" customHeight="1" x14ac:dyDescent="0.3">
      <c r="A23" s="33" t="s">
        <v>230</v>
      </c>
      <c r="B23" s="29">
        <f>COUNTIF(Raw_Data!AG2:AG101,"Medium")</f>
        <v>1</v>
      </c>
      <c r="C23" s="30">
        <f>IFERROR(B23/B8,0)</f>
        <v>2.9411764705882353E-2</v>
      </c>
    </row>
    <row r="24" spans="1:8" ht="15" customHeight="1" x14ac:dyDescent="0.3">
      <c r="A24" s="34" t="s">
        <v>57</v>
      </c>
      <c r="B24" s="26">
        <f>COUNTIF(Raw_Data!AG2:AG101,"Low")</f>
        <v>20</v>
      </c>
      <c r="C24" s="27">
        <f>IFERROR(B24/B8,0)</f>
        <v>0.58823529411764708</v>
      </c>
      <c r="F24" s="49" t="s">
        <v>262</v>
      </c>
      <c r="G24" s="4"/>
      <c r="H24" s="4"/>
    </row>
    <row r="25" spans="1:8" ht="15" customHeight="1" x14ac:dyDescent="0.3">
      <c r="A25" s="35" t="s">
        <v>44</v>
      </c>
      <c r="B25" s="36">
        <f>COUNTIF(Raw_Data!AG2:AG101,"N/A")</f>
        <v>66</v>
      </c>
      <c r="C25" s="37">
        <f>IFERROR(B25/B8,0)</f>
        <v>1.9411764705882353</v>
      </c>
      <c r="F25" s="38" t="s">
        <v>6</v>
      </c>
      <c r="G25" s="38" t="s">
        <v>245</v>
      </c>
      <c r="H25" s="38" t="s">
        <v>253</v>
      </c>
    </row>
    <row r="26" spans="1:8" ht="15" customHeight="1" x14ac:dyDescent="0.3">
      <c r="F26" s="39" t="s">
        <v>104</v>
      </c>
      <c r="G26" s="40">
        <f>COUNTIFS(Raw_Data!G2:G101,F26,Raw_Data!H2:H101,"Lost")</f>
        <v>5</v>
      </c>
      <c r="H26" s="41">
        <f>IFERROR(G26/B7,0)</f>
        <v>0.10416666666666667</v>
      </c>
    </row>
    <row r="27" spans="1:8" ht="15" customHeight="1" x14ac:dyDescent="0.3">
      <c r="F27" s="42" t="s">
        <v>146</v>
      </c>
      <c r="G27" s="43">
        <f>COUNTIFS(Raw_Data!G2:G101,F27,Raw_Data!H2:H101,"Lost")</f>
        <v>1</v>
      </c>
      <c r="H27" s="44">
        <f>IFERROR(G27/B7,0)</f>
        <v>2.0833333333333332E-2</v>
      </c>
    </row>
    <row r="28" spans="1:8" ht="15" customHeight="1" x14ac:dyDescent="0.3">
      <c r="F28" s="39" t="s">
        <v>63</v>
      </c>
      <c r="G28" s="40">
        <f>COUNTIFS(Raw_Data!G2:G101,F28,Raw_Data!H2:H101,"Lost")</f>
        <v>4</v>
      </c>
      <c r="H28" s="41">
        <f>IFERROR(G28/B7,0)</f>
        <v>8.3333333333333329E-2</v>
      </c>
    </row>
    <row r="29" spans="1:8" ht="15" customHeight="1" x14ac:dyDescent="0.3">
      <c r="F29" s="42" t="s">
        <v>88</v>
      </c>
      <c r="G29" s="43">
        <f>COUNTIFS(Raw_Data!G2:G101,F29,Raw_Data!H2:H101,"Lost")</f>
        <v>5</v>
      </c>
      <c r="H29" s="44">
        <f>IFERROR(G29/B7,0)</f>
        <v>0.10416666666666667</v>
      </c>
    </row>
    <row r="30" spans="1:8" ht="15" customHeight="1" x14ac:dyDescent="0.3">
      <c r="A30" s="50" t="s">
        <v>263</v>
      </c>
      <c r="B30" s="3"/>
      <c r="C30" s="3"/>
      <c r="D30" s="3"/>
      <c r="F30" s="39" t="s">
        <v>55</v>
      </c>
      <c r="G30" s="40">
        <f>COUNTIFS(Raw_Data!G2:G101,F30,Raw_Data!H2:H101,"Lost")</f>
        <v>1</v>
      </c>
      <c r="H30" s="41">
        <f>IFERROR(G30/B7,0)</f>
        <v>2.0833333333333332E-2</v>
      </c>
    </row>
    <row r="31" spans="1:8" ht="15" customHeight="1" x14ac:dyDescent="0.3">
      <c r="A31" s="21" t="s">
        <v>254</v>
      </c>
      <c r="B31" s="21" t="s">
        <v>245</v>
      </c>
      <c r="C31" s="21" t="s">
        <v>246</v>
      </c>
      <c r="F31" s="42" t="s">
        <v>150</v>
      </c>
      <c r="G31" s="43">
        <f>COUNTIFS(Raw_Data!G2:G101,F31,Raw_Data!H2:H101,"Lost")</f>
        <v>3</v>
      </c>
      <c r="H31" s="44">
        <f>IFERROR(G31/B7,0)</f>
        <v>6.25E-2</v>
      </c>
    </row>
    <row r="32" spans="1:8" ht="15" customHeight="1" x14ac:dyDescent="0.3">
      <c r="A32" s="45" t="s">
        <v>50</v>
      </c>
      <c r="B32" s="46">
        <f>COUNTIF(Raw_Data!J2:J101,"Yes - within route")</f>
        <v>37</v>
      </c>
      <c r="C32" s="47">
        <f>IFERROR(B32/B5,0)</f>
        <v>0.37</v>
      </c>
      <c r="F32" s="39" t="s">
        <v>114</v>
      </c>
      <c r="G32" s="40">
        <f>COUNTIFS(Raw_Data!G2:G101,F32,Raw_Data!H2:H101,"Lost")</f>
        <v>5</v>
      </c>
      <c r="H32" s="41">
        <f>IFERROR(G32/B7,0)</f>
        <v>0.10416666666666667</v>
      </c>
    </row>
    <row r="33" spans="1:8" ht="15" customHeight="1" x14ac:dyDescent="0.3">
      <c r="A33" s="45" t="s">
        <v>42</v>
      </c>
      <c r="B33" s="46">
        <f>COUNTIF(Raw_Data!J2:J101,"No - not available")</f>
        <v>47</v>
      </c>
      <c r="C33" s="47">
        <f>IFERROR(B33/B5,0)</f>
        <v>0.47</v>
      </c>
      <c r="F33" s="42" t="s">
        <v>48</v>
      </c>
      <c r="G33" s="43">
        <f>COUNTIFS(Raw_Data!G2:G101,F33,Raw_Data!H2:H101,"Lost")</f>
        <v>3</v>
      </c>
      <c r="H33" s="44">
        <f>IFERROR(G33/B7,0)</f>
        <v>6.25E-2</v>
      </c>
    </row>
    <row r="34" spans="1:8" ht="15" customHeight="1" x14ac:dyDescent="0.3">
      <c r="A34" s="45" t="s">
        <v>68</v>
      </c>
      <c r="B34" s="46">
        <f>COUNTIF(Raw_Data!J2:J101,"Not sure")</f>
        <v>16</v>
      </c>
      <c r="C34" s="47">
        <f>IFERROR(B34/B5,0)</f>
        <v>0.16</v>
      </c>
      <c r="F34" s="39" t="s">
        <v>111</v>
      </c>
      <c r="G34" s="40">
        <f>COUNTIFS(Raw_Data!G2:G101,F34,Raw_Data!H2:H101,"Lost")</f>
        <v>3</v>
      </c>
      <c r="H34" s="41">
        <f>IFERROR(G34/B7,0)</f>
        <v>6.25E-2</v>
      </c>
    </row>
    <row r="35" spans="1:8" ht="15" customHeight="1" x14ac:dyDescent="0.3">
      <c r="F35" s="42" t="s">
        <v>73</v>
      </c>
      <c r="G35" s="43">
        <f>COUNTIFS(Raw_Data!G2:G101,F35,Raw_Data!H2:H101,"Lost")</f>
        <v>4</v>
      </c>
      <c r="H35" s="44">
        <f>IFERROR(G35/B7,0)</f>
        <v>8.3333333333333329E-2</v>
      </c>
    </row>
    <row r="36" spans="1:8" ht="15" customHeight="1" x14ac:dyDescent="0.3">
      <c r="F36" s="39" t="s">
        <v>119</v>
      </c>
      <c r="G36" s="40">
        <f>COUNTIFS(Raw_Data!G2:G101,F36,Raw_Data!H2:H101,"Lost")</f>
        <v>3</v>
      </c>
      <c r="H36" s="41">
        <f>IFERROR(G36/B7,0)</f>
        <v>6.25E-2</v>
      </c>
    </row>
    <row r="37" spans="1:8" ht="15" customHeight="1" x14ac:dyDescent="0.3">
      <c r="A37" s="1" t="s">
        <v>255</v>
      </c>
      <c r="B37" s="1"/>
      <c r="C37" s="1"/>
      <c r="D37" s="1"/>
      <c r="E37" s="1"/>
      <c r="F37" s="1"/>
      <c r="G37" s="1"/>
      <c r="H37" s="1"/>
    </row>
    <row r="38" spans="1:8" ht="13.5" customHeight="1" x14ac:dyDescent="0.3">
      <c r="A38" s="2" t="s">
        <v>256</v>
      </c>
      <c r="B38" s="2"/>
      <c r="C38" s="2"/>
      <c r="D38" s="2"/>
      <c r="E38" s="2"/>
      <c r="F38" s="2"/>
      <c r="G38" s="2"/>
      <c r="H38" s="2"/>
    </row>
    <row r="39" spans="1:8" ht="13.5" customHeight="1" x14ac:dyDescent="0.3">
      <c r="A39" s="2" t="s">
        <v>257</v>
      </c>
      <c r="B39" s="2"/>
      <c r="C39" s="2"/>
      <c r="D39" s="2"/>
      <c r="E39" s="2"/>
      <c r="F39" s="2"/>
      <c r="G39" s="2"/>
      <c r="H39" s="2"/>
    </row>
    <row r="40" spans="1:8" ht="13.5" customHeight="1" x14ac:dyDescent="0.3">
      <c r="A40" s="2" t="s">
        <v>258</v>
      </c>
      <c r="B40" s="2"/>
      <c r="C40" s="2"/>
      <c r="D40" s="2"/>
      <c r="E40" s="2"/>
      <c r="F40" s="2"/>
      <c r="G40" s="2"/>
      <c r="H40" s="2"/>
    </row>
    <row r="41" spans="1:8" ht="13.5" customHeight="1" x14ac:dyDescent="0.3">
      <c r="A41" s="2" t="s">
        <v>259</v>
      </c>
      <c r="B41" s="2"/>
      <c r="C41" s="2"/>
      <c r="D41" s="2"/>
      <c r="E41" s="2"/>
      <c r="F41" s="2"/>
      <c r="G41" s="2"/>
      <c r="H41" s="2"/>
    </row>
    <row r="42" spans="1:8" ht="13.5" customHeight="1" x14ac:dyDescent="0.3">
      <c r="A42" s="2" t="s">
        <v>260</v>
      </c>
      <c r="B42" s="2"/>
      <c r="C42" s="2"/>
      <c r="D42" s="2"/>
      <c r="E42" s="2"/>
      <c r="F42" s="2"/>
      <c r="G42" s="2"/>
      <c r="H42" s="2"/>
    </row>
    <row r="43" spans="1:8" ht="13.5" customHeight="1" x14ac:dyDescent="0.3">
      <c r="A43" s="2"/>
      <c r="B43" s="2"/>
      <c r="C43" s="2"/>
      <c r="D43" s="2"/>
      <c r="E43" s="2"/>
      <c r="F43" s="2"/>
      <c r="G43" s="2"/>
      <c r="H43" s="2"/>
    </row>
    <row r="44" spans="1:8" ht="13.5" customHeight="1" x14ac:dyDescent="0.3">
      <c r="A44" s="2"/>
      <c r="B44" s="2"/>
      <c r="C44" s="2"/>
      <c r="D44" s="2"/>
      <c r="E44" s="2"/>
      <c r="F44" s="2"/>
      <c r="G44" s="2"/>
      <c r="H44" s="2"/>
    </row>
    <row r="45" spans="1:8" ht="13.5" customHeight="1" x14ac:dyDescent="0.3">
      <c r="A45" s="1"/>
      <c r="B45" s="1"/>
      <c r="C45" s="1"/>
      <c r="D45" s="1"/>
      <c r="E45" s="1"/>
      <c r="F45" s="1"/>
      <c r="G45" s="1"/>
      <c r="H45" s="1"/>
    </row>
    <row r="46" spans="1:8" ht="13.5" customHeight="1" x14ac:dyDescent="0.3">
      <c r="A46" s="2"/>
      <c r="B46" s="2"/>
      <c r="C46" s="2"/>
      <c r="D46" s="2"/>
      <c r="E46" s="2"/>
      <c r="F46" s="2"/>
      <c r="G46" s="2"/>
      <c r="H46" s="2"/>
    </row>
    <row r="47" spans="1:8" ht="13.5" customHeight="1" x14ac:dyDescent="0.3">
      <c r="A47" s="2"/>
      <c r="B47" s="2"/>
      <c r="C47" s="2"/>
      <c r="D47" s="2"/>
      <c r="E47" s="2"/>
      <c r="F47" s="2"/>
      <c r="G47" s="2"/>
      <c r="H47" s="2"/>
    </row>
    <row r="48" spans="1:8" ht="13.5" customHeight="1" x14ac:dyDescent="0.3">
      <c r="A48" s="51"/>
      <c r="B48" s="2"/>
      <c r="C48" s="2"/>
      <c r="D48" s="2"/>
      <c r="E48" s="2"/>
      <c r="F48" s="2"/>
      <c r="G48" s="2"/>
      <c r="H48" s="2"/>
    </row>
    <row r="49" spans="1:8" ht="13.5" customHeight="1" x14ac:dyDescent="0.3">
      <c r="A49" s="2"/>
      <c r="B49" s="2"/>
      <c r="C49" s="2"/>
      <c r="D49" s="2"/>
      <c r="E49" s="2"/>
      <c r="F49" s="2"/>
      <c r="G49" s="2"/>
      <c r="H49" s="2"/>
    </row>
    <row r="50" spans="1:8" ht="13.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13.5" customHeight="1" x14ac:dyDescent="0.3">
      <c r="A51" s="1"/>
      <c r="B51" s="1"/>
      <c r="C51" s="1"/>
      <c r="D51" s="1"/>
      <c r="E51" s="1"/>
      <c r="F51" s="1"/>
      <c r="G51" s="1"/>
      <c r="H51" s="1"/>
    </row>
    <row r="52" spans="1:8" ht="13.5" customHeight="1" x14ac:dyDescent="0.3">
      <c r="A52" s="2"/>
      <c r="B52" s="2"/>
      <c r="C52" s="2"/>
      <c r="D52" s="2"/>
      <c r="E52" s="2"/>
      <c r="F52" s="2"/>
      <c r="G52" s="2"/>
      <c r="H52" s="2"/>
    </row>
    <row r="53" spans="1:8" ht="13.5" customHeight="1" x14ac:dyDescent="0.3">
      <c r="A53" s="2"/>
      <c r="B53" s="2"/>
      <c r="C53" s="2"/>
      <c r="D53" s="2"/>
      <c r="E53" s="2"/>
      <c r="F53" s="2"/>
      <c r="G53" s="2"/>
      <c r="H53" s="2"/>
    </row>
    <row r="54" spans="1:8" ht="13.5" customHeight="1" x14ac:dyDescent="0.3">
      <c r="A54" s="2"/>
      <c r="B54" s="2"/>
      <c r="C54" s="2"/>
      <c r="D54" s="2"/>
      <c r="E54" s="2"/>
      <c r="F54" s="2"/>
      <c r="G54" s="2"/>
      <c r="H54" s="2"/>
    </row>
    <row r="55" spans="1:8" ht="13.5" customHeight="1" x14ac:dyDescent="0.3">
      <c r="A55" s="51"/>
      <c r="B55" s="2"/>
      <c r="C55" s="2"/>
      <c r="D55" s="2"/>
      <c r="E55" s="2"/>
      <c r="F55" s="2"/>
      <c r="G55" s="2"/>
      <c r="H55" s="2"/>
    </row>
    <row r="56" spans="1:8" ht="13.5" customHeight="1" x14ac:dyDescent="0.3">
      <c r="A56" s="2"/>
      <c r="B56" s="2"/>
      <c r="C56" s="2"/>
      <c r="D56" s="2"/>
      <c r="E56" s="2"/>
      <c r="F56" s="2"/>
      <c r="G56" s="2"/>
      <c r="H56" s="2"/>
    </row>
    <row r="57" spans="1:8" ht="13.5" customHeight="1" x14ac:dyDescent="0.3">
      <c r="A57" s="1"/>
      <c r="B57" s="1"/>
      <c r="C57" s="1"/>
      <c r="D57" s="1"/>
      <c r="E57" s="1"/>
      <c r="F57" s="1"/>
      <c r="G57" s="1"/>
      <c r="H57" s="1"/>
    </row>
    <row r="58" spans="1:8" ht="13.5" customHeight="1" x14ac:dyDescent="0.3">
      <c r="A58" s="2"/>
      <c r="B58" s="2"/>
      <c r="C58" s="2"/>
      <c r="D58" s="2"/>
      <c r="E58" s="2"/>
      <c r="F58" s="2"/>
      <c r="G58" s="2"/>
      <c r="H58" s="2"/>
    </row>
    <row r="59" spans="1:8" ht="13.5" customHeight="1" x14ac:dyDescent="0.3">
      <c r="A59" s="2"/>
      <c r="B59" s="2"/>
      <c r="C59" s="2"/>
      <c r="D59" s="2"/>
      <c r="E59" s="2"/>
      <c r="F59" s="2"/>
      <c r="G59" s="2"/>
      <c r="H59" s="2"/>
    </row>
    <row r="60" spans="1:8" ht="13.5" customHeight="1" x14ac:dyDescent="0.3">
      <c r="A60" s="2"/>
      <c r="B60" s="2"/>
      <c r="C60" s="2"/>
      <c r="D60" s="2"/>
      <c r="E60" s="2"/>
      <c r="F60" s="2"/>
      <c r="G60" s="2"/>
      <c r="H60" s="2"/>
    </row>
    <row r="61" spans="1:8" ht="13.5" customHeight="1" x14ac:dyDescent="0.3">
      <c r="A61" s="51"/>
      <c r="B61" s="2"/>
      <c r="C61" s="2"/>
      <c r="D61" s="2"/>
      <c r="E61" s="2"/>
      <c r="F61" s="2"/>
      <c r="G61" s="2"/>
      <c r="H61" s="2"/>
    </row>
    <row r="62" spans="1:8" ht="13.5" customHeight="1" x14ac:dyDescent="0.3">
      <c r="A62" s="2"/>
      <c r="B62" s="2"/>
      <c r="C62" s="2"/>
      <c r="D62" s="2"/>
      <c r="E62" s="2"/>
      <c r="F62" s="2"/>
      <c r="G62" s="2"/>
      <c r="H62" s="2"/>
    </row>
    <row r="63" spans="1:8" ht="13.5" customHeight="1" x14ac:dyDescent="0.3"/>
    <row r="64" spans="1:8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</sheetData>
  <mergeCells count="37">
    <mergeCell ref="A42:H42"/>
    <mergeCell ref="I1:P1"/>
    <mergeCell ref="Q1:X1"/>
    <mergeCell ref="A37:H37"/>
    <mergeCell ref="A38:H38"/>
    <mergeCell ref="A39:H39"/>
    <mergeCell ref="A40:H40"/>
    <mergeCell ref="A41:H41"/>
    <mergeCell ref="A58:H58"/>
    <mergeCell ref="A59:H59"/>
    <mergeCell ref="A60:H60"/>
    <mergeCell ref="A61:H61"/>
    <mergeCell ref="A62:H62"/>
    <mergeCell ref="A53:H53"/>
    <mergeCell ref="A54:H54"/>
    <mergeCell ref="A55:H55"/>
    <mergeCell ref="A56:H56"/>
    <mergeCell ref="A57:H57"/>
    <mergeCell ref="A48:H48"/>
    <mergeCell ref="A49:H49"/>
    <mergeCell ref="A50:H50"/>
    <mergeCell ref="A51:H51"/>
    <mergeCell ref="A52:H52"/>
    <mergeCell ref="A43:H43"/>
    <mergeCell ref="A44:H44"/>
    <mergeCell ref="A45:H45"/>
    <mergeCell ref="A46:H46"/>
    <mergeCell ref="A47:H47"/>
    <mergeCell ref="A20:D20"/>
    <mergeCell ref="F22:H22"/>
    <mergeCell ref="F24:H24"/>
    <mergeCell ref="A30:D30"/>
    <mergeCell ref="A1:H1"/>
    <mergeCell ref="A2:H2"/>
    <mergeCell ref="A4:D4"/>
    <mergeCell ref="F4:H4"/>
    <mergeCell ref="A13:D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Reson Not Switched</vt:lpstr>
      <vt:lpstr>Raw_Data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 Kanaki</cp:lastModifiedBy>
  <cp:revision>0</cp:revision>
  <dcterms:created xsi:type="dcterms:W3CDTF">2026-05-30T17:04:09Z</dcterms:created>
  <dcterms:modified xsi:type="dcterms:W3CDTF">2026-05-30T18:16:48Z</dcterms:modified>
  <dc:language>en-US</dc:language>
</cp:coreProperties>
</file>